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s" sheetId="2" state="visible" r:id="rId2"/>
    <sheet name="Pivots" sheetId="3" state="visible" r:id="rId3"/>
    <sheet name="Timing" sheetId="4" state="visible" r:id="rId4"/>
    <sheet name="Shape of results" sheetId="5" state="visible" r:id="rId5"/>
    <sheet name="Excursions" sheetId="6" state="visible" r:id="rId6"/>
    <sheet name="Risk" sheetId="7" state="visible" r:id="rId7"/>
    <sheet name="Findings" sheetId="8" state="visible" r:id="rId8"/>
    <sheet name="Charts" sheetId="9" state="visible" r:id="rId9"/>
    <sheet name="Glossary" sheetId="10" state="visible" r:id="rId10"/>
  </sheets>
  <definedNames>
    <definedName name="_xlnm.Print_Area" localSheetId="0">'Dashboard'!$A$1:$U$73</definedName>
    <definedName name="_xlnm.Print_Titles" localSheetId="1">'Trades'!$1:$1</definedName>
    <definedName name="_xlnm.Print_Area" localSheetId="1">'Trades'!$A$1:$U$74</definedName>
    <definedName name="_xlnm.Print_Area" localSheetId="2">'Pivots'!$A$1:$L$37</definedName>
    <definedName name="_xlnm.Print_Area" localSheetId="3">'Timing'!$A$1:$L$48</definedName>
    <definedName name="_xlnm.Print_Area" localSheetId="4">'Shape of results'!$A$1:$L$35</definedName>
    <definedName name="_xlnm.Print_Area" localSheetId="5">'Excursions'!$A$1:$L$31</definedName>
    <definedName name="_xlnm.Print_Area" localSheetId="6">'Risk'!$A$1:$L$56</definedName>
    <definedName name="_xlnm.Print_Area" localSheetId="7">'Findings'!$A$1:$L$64</definedName>
    <definedName name="_xlnm.Print_Area" localSheetId="8">'Charts'!$A$1:$I$661</definedName>
    <definedName name="_xlnm.Print_Area" localSheetId="9">'Glossary'!$A$1:$H$22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 h:mm:ss"/>
    <numFmt numFmtId="165" formatCode="yyyy-mm-dd hh:mm:ss"/>
    <numFmt numFmtId="166" formatCode="0.0"/>
    <numFmt numFmtId="167" formatCode="#,##0.00;[Red]-#,##0.00"/>
    <numFmt numFmtId="168" formatCode="+0.00;[Red]-0.00;0.00"/>
    <numFmt numFmtId="169" formatCode="+#,##0.00;[Red]-#,##0.00;0.00"/>
    <numFmt numFmtId="170" formatCode="0.0&quot;%&quot;"/>
    <numFmt numFmtId="171" formatCode="0.00&quot;%&quot;"/>
    <numFmt numFmtId="172" formatCode="+0;-0;0"/>
  </numFmts>
  <fonts count="19">
    <font>
      <name val="Calibri"/>
      <family val="2"/>
      <color theme="1"/>
      <sz val="11"/>
      <scheme val="minor"/>
    </font>
    <font>
      <name val="Segoe UI Semibold"/>
      <color rgb="00FFFFFF"/>
      <sz val="20"/>
    </font>
    <font>
      <name val="Segoe UI"/>
      <color rgb="0094A3B8"/>
      <sz val="10"/>
    </font>
    <font>
      <name val="Segoe UI Semibold"/>
      <color rgb="000F172A"/>
      <sz val="12"/>
    </font>
    <font>
      <name val="Segoe UI Semibold"/>
      <color rgb="00FFFFFF"/>
      <sz val="10"/>
    </font>
    <font>
      <name val="Segoe UI"/>
      <color rgb="00475569"/>
      <sz val="9"/>
    </font>
    <font>
      <name val="Segoe UI Semibold"/>
      <color rgb="000F172A"/>
      <sz val="16"/>
    </font>
    <font>
      <name val="Segoe UI"/>
      <color rgb="0094A3B8"/>
      <sz val="8"/>
    </font>
    <font>
      <name val="Segoe UI"/>
      <color rgb="000F172A"/>
      <sz val="9"/>
    </font>
    <font>
      <name val="Segoe UI"/>
      <i val="1"/>
      <color rgb="00475569"/>
      <sz val="9"/>
    </font>
    <font>
      <name val="Segoe UI Semibold"/>
      <color rgb="000D9488"/>
      <sz val="16"/>
    </font>
    <font>
      <name val="Segoe UI Semibold"/>
      <color rgb="00DC2626"/>
      <sz val="16"/>
    </font>
    <font>
      <name val="Segoe UI Semibold"/>
      <color rgb="00D97706"/>
      <sz val="16"/>
    </font>
    <font>
      <name val="Segoe UI Semibold"/>
      <color rgb="000F172A"/>
      <sz val="9"/>
    </font>
    <font>
      <name val="Segoe UI Semibold"/>
      <color rgb="000D9488"/>
      <sz val="9"/>
    </font>
    <font>
      <name val="Segoe UI Semibold"/>
      <color rgb="00DC2626"/>
      <sz val="9"/>
    </font>
    <font>
      <name val="Segoe UI Semibold"/>
      <color rgb="00D97706"/>
      <sz val="9"/>
    </font>
    <font>
      <name val="Segoe UI Semibold"/>
      <color rgb="000F172A"/>
      <sz val="11"/>
    </font>
    <font>
      <name val="Segoe UI"/>
      <color rgb="002563EB"/>
      <sz val="9"/>
      <u val="single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CCFBF1"/>
      </patternFill>
    </fill>
  </fills>
  <borders count="10">
    <border>
      <left/>
      <right/>
      <top/>
      <bottom/>
      <diagonal/>
    </border>
    <border/>
    <border>
      <top style="thin">
        <color rgb="00E2E8F0"/>
      </top>
    </border>
    <border>
      <bottom style="thin">
        <color rgb="00E2E8F0"/>
      </bottom>
    </border>
    <border>
      <left style="thin">
        <color rgb="00E2E8F0"/>
      </left>
    </border>
    <border>
      <right style="thin">
        <color rgb="00E2E8F0"/>
      </right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0D9488"/>
      </left>
      <right style="thin">
        <color rgb="000D9488"/>
      </right>
      <top style="thin">
        <color rgb="000D9488"/>
      </top>
      <bottom style="thin">
        <color rgb="000D9488"/>
      </bottom>
    </border>
  </borders>
  <cellStyleXfs count="13">
    <xf numFmtId="0" fontId="0" fillId="0" borderId="0"/>
    <xf numFmtId="0" fontId="1" fillId="2" borderId="1" applyAlignment="1">
      <alignment horizontal="left" vertical="center"/>
    </xf>
    <xf numFmtId="0" fontId="2" fillId="2" borderId="1" applyAlignment="1">
      <alignment horizontal="left" vertical="center"/>
    </xf>
    <xf numFmtId="0" fontId="3" fillId="0" borderId="1" applyAlignment="1">
      <alignment horizontal="left" vertical="center"/>
    </xf>
    <xf numFmtId="0" fontId="4" fillId="3" borderId="1" applyAlignment="1">
      <alignment horizontal="center" vertical="center" wrapText="1"/>
    </xf>
    <xf numFmtId="0" fontId="5" fillId="0" borderId="1" applyAlignment="1">
      <alignment horizontal="left" vertical="center"/>
    </xf>
    <xf numFmtId="0" fontId="5" fillId="4" borderId="1" applyAlignment="1">
      <alignment horizontal="left" vertical="center"/>
    </xf>
    <xf numFmtId="0" fontId="6" fillId="4" borderId="1" applyAlignment="1">
      <alignment horizontal="left" vertical="center"/>
    </xf>
    <xf numFmtId="0" fontId="7" fillId="4" borderId="1" applyAlignment="1">
      <alignment horizontal="left" vertical="center"/>
    </xf>
    <xf numFmtId="0" fontId="8" fillId="0" borderId="1" applyAlignment="1">
      <alignment horizontal="center" vertical="center"/>
    </xf>
    <xf numFmtId="0" fontId="8" fillId="0" borderId="1" applyAlignment="1">
      <alignment horizontal="left" vertical="center"/>
    </xf>
    <xf numFmtId="0" fontId="9" fillId="0" borderId="1" applyAlignment="1">
      <alignment horizontal="left" vertical="top" wrapText="1"/>
    </xf>
    <xf numFmtId="0" fontId="9" fillId="0" borderId="1" applyAlignment="1">
      <alignment horizontal="left" vertical="center"/>
    </xf>
  </cellStyleXfs>
  <cellXfs count="69">
    <xf numFmtId="0" fontId="0" fillId="0" borderId="0" pivotButton="0" quotePrefix="0" xfId="0"/>
    <xf numFmtId="0" fontId="1" fillId="2" borderId="1" applyAlignment="1" pivotButton="0" quotePrefix="0" xfId="1">
      <alignment horizontal="left" vertical="center"/>
    </xf>
    <xf numFmtId="0" fontId="0" fillId="2" borderId="0" pivotButton="0" quotePrefix="0" xfId="0"/>
    <xf numFmtId="0" fontId="2" fillId="2" borderId="1" applyAlignment="1" pivotButton="0" quotePrefix="0" xfId="2">
      <alignment horizontal="left" vertical="center"/>
    </xf>
    <xf numFmtId="0" fontId="3" fillId="0" borderId="1" applyAlignment="1" pivotButton="0" quotePrefix="0" xfId="3">
      <alignment horizontal="left" vertical="center"/>
    </xf>
    <xf numFmtId="0" fontId="5" fillId="4" borderId="2" applyAlignment="1" pivotButton="0" quotePrefix="0" xfId="6">
      <alignment horizontal="left" vertical="center"/>
    </xf>
    <xf numFmtId="0" fontId="0" fillId="4" borderId="2" pivotButton="0" quotePrefix="0" xfId="0"/>
    <xf numFmtId="169" fontId="10" fillId="4" borderId="4" applyAlignment="1" pivotButton="0" quotePrefix="0" xfId="7">
      <alignment horizontal="left" vertical="center"/>
    </xf>
    <xf numFmtId="0" fontId="0" fillId="4" borderId="0" pivotButton="0" quotePrefix="0" xfId="0"/>
    <xf numFmtId="0" fontId="0" fillId="4" borderId="5" pivotButton="0" quotePrefix="0" xfId="0"/>
    <xf numFmtId="170" fontId="10" fillId="4" borderId="4" applyAlignment="1" pivotButton="0" quotePrefix="0" xfId="7">
      <alignment horizontal="left" vertical="center"/>
    </xf>
    <xf numFmtId="170" fontId="6" fillId="4" borderId="4" applyAlignment="1" pivotButton="0" quotePrefix="0" xfId="7">
      <alignment horizontal="left" vertical="center"/>
    </xf>
    <xf numFmtId="2" fontId="10" fillId="4" borderId="4" applyAlignment="1" pivotButton="0" quotePrefix="0" xfId="7">
      <alignment horizontal="left" vertical="center"/>
    </xf>
    <xf numFmtId="0" fontId="7" fillId="4" borderId="3" applyAlignment="1" pivotButton="0" quotePrefix="0" xfId="8">
      <alignment horizontal="left" vertical="center"/>
    </xf>
    <xf numFmtId="0" fontId="0" fillId="4" borderId="3" pivotButton="0" quotePrefix="0" xfId="0"/>
    <xf numFmtId="167" fontId="11" fillId="4" borderId="4" applyAlignment="1" pivotButton="0" quotePrefix="0" xfId="7">
      <alignment horizontal="left" vertical="center"/>
    </xf>
    <xf numFmtId="2" fontId="6" fillId="4" borderId="4" applyAlignment="1" pivotButton="0" quotePrefix="0" xfId="7">
      <alignment horizontal="left" vertical="center"/>
    </xf>
    <xf numFmtId="3" fontId="6" fillId="4" borderId="4" applyAlignment="1" pivotButton="0" quotePrefix="0" xfId="7">
      <alignment horizontal="left" vertical="center"/>
    </xf>
    <xf numFmtId="167" fontId="10" fillId="4" borderId="4" applyAlignment="1" pivotButton="0" quotePrefix="0" xfId="7">
      <alignment horizontal="left" vertical="center"/>
    </xf>
    <xf numFmtId="3" fontId="12" fillId="4" borderId="4" applyAlignment="1" pivotButton="0" quotePrefix="0" xfId="7">
      <alignment horizontal="left" vertical="center"/>
    </xf>
    <xf numFmtId="0" fontId="6" fillId="4" borderId="4" applyAlignment="1" pivotButton="0" quotePrefix="0" xfId="7">
      <alignment horizontal="left" vertical="center"/>
    </xf>
    <xf numFmtId="167" fontId="6" fillId="4" borderId="4" applyAlignment="1" pivotButton="0" quotePrefix="0" xfId="7">
      <alignment horizontal="left" vertical="center"/>
    </xf>
    <xf numFmtId="0" fontId="4" fillId="3" borderId="1" applyAlignment="1" pivotButton="0" quotePrefix="0" xfId="4">
      <alignment horizontal="center" vertical="center" wrapText="1"/>
    </xf>
    <xf numFmtId="0" fontId="8" fillId="0" borderId="1" applyAlignment="1" pivotButton="0" quotePrefix="0" xfId="10">
      <alignment horizontal="left" vertical="center"/>
    </xf>
    <xf numFmtId="3" fontId="8" fillId="0" borderId="1" applyAlignment="1" pivotButton="0" quotePrefix="0" xfId="9">
      <alignment horizontal="center" vertical="center"/>
    </xf>
    <xf numFmtId="0" fontId="9" fillId="0" borderId="1" applyAlignment="1" pivotButton="0" quotePrefix="0" xfId="11">
      <alignment horizontal="left" vertical="top" wrapText="1"/>
    </xf>
    <xf numFmtId="1" fontId="8" fillId="0" borderId="1" applyAlignment="1" pivotButton="0" quotePrefix="0" xfId="9">
      <alignment horizontal="center" vertical="center"/>
    </xf>
    <xf numFmtId="0" fontId="8" fillId="0" borderId="1" applyAlignment="1" pivotButton="0" quotePrefix="0" xfId="9">
      <alignment horizontal="center" vertical="center"/>
    </xf>
    <xf numFmtId="2" fontId="8" fillId="0" borderId="1" applyAlignment="1" pivotButton="0" quotePrefix="0" xfId="9">
      <alignment horizontal="center" vertical="center"/>
    </xf>
    <xf numFmtId="165" fontId="8" fillId="0" borderId="1" applyAlignment="1" pivotButton="0" quotePrefix="0" xfId="9">
      <alignment horizontal="center" vertical="center"/>
    </xf>
    <xf numFmtId="166" fontId="8" fillId="0" borderId="1" applyAlignment="1" pivotButton="0" quotePrefix="0" xfId="9">
      <alignment horizontal="center" vertical="center"/>
    </xf>
    <xf numFmtId="167" fontId="8" fillId="0" borderId="1" applyAlignment="1" pivotButton="0" quotePrefix="0" xfId="9">
      <alignment horizontal="center" vertical="center"/>
    </xf>
    <xf numFmtId="168" fontId="8" fillId="0" borderId="1" applyAlignment="1" pivotButton="0" quotePrefix="0" xfId="9">
      <alignment horizontal="center" vertical="center"/>
    </xf>
    <xf numFmtId="169" fontId="8" fillId="0" borderId="1" applyAlignment="1" pivotButton="0" quotePrefix="0" xfId="9">
      <alignment horizontal="center" vertical="center"/>
    </xf>
    <xf numFmtId="170" fontId="8" fillId="0" borderId="1" applyAlignment="1" pivotButton="0" quotePrefix="0" xfId="9">
      <alignment horizontal="center" vertical="center"/>
    </xf>
    <xf numFmtId="171" fontId="8" fillId="0" borderId="1" applyAlignment="1" pivotButton="0" quotePrefix="0" xfId="9">
      <alignment horizontal="center" vertical="center"/>
    </xf>
    <xf numFmtId="172" fontId="8" fillId="0" borderId="1" applyAlignment="1" pivotButton="0" quotePrefix="0" xfId="9">
      <alignment horizontal="center" vertical="center"/>
    </xf>
    <xf numFmtId="0" fontId="5" fillId="0" borderId="1" applyAlignment="1" pivotButton="0" quotePrefix="0" xfId="5">
      <alignment horizontal="left" vertical="center"/>
    </xf>
    <xf numFmtId="0" fontId="8" fillId="5" borderId="6" applyAlignment="1" pivotButton="0" quotePrefix="0" xfId="9">
      <alignment horizontal="center" vertical="center"/>
    </xf>
    <xf numFmtId="0" fontId="9" fillId="0" borderId="1" applyAlignment="1" pivotButton="0" quotePrefix="0" xfId="12">
      <alignment horizontal="left" vertical="center"/>
    </xf>
    <xf numFmtId="0" fontId="13" fillId="4" borderId="1" applyAlignment="1" pivotButton="0" quotePrefix="0" xfId="10">
      <alignment horizontal="left" vertical="center"/>
    </xf>
    <xf numFmtId="3" fontId="13" fillId="4" borderId="1" applyAlignment="1" pivotButton="0" quotePrefix="0" xfId="9">
      <alignment horizontal="center" vertical="center"/>
    </xf>
    <xf numFmtId="170" fontId="13" fillId="4" borderId="1" applyAlignment="1" pivotButton="0" quotePrefix="0" xfId="9">
      <alignment horizontal="center" vertical="center"/>
    </xf>
    <xf numFmtId="169" fontId="13" fillId="4" borderId="1" applyAlignment="1" pivotButton="0" quotePrefix="0" xfId="9">
      <alignment horizontal="center" vertical="center"/>
    </xf>
    <xf numFmtId="168" fontId="13" fillId="4" borderId="1" applyAlignment="1" pivotButton="0" quotePrefix="0" xfId="9">
      <alignment horizontal="center" vertical="center"/>
    </xf>
    <xf numFmtId="2" fontId="13" fillId="4" borderId="1" applyAlignment="1" pivotButton="0" quotePrefix="0" xfId="9">
      <alignment horizontal="center" vertical="center"/>
    </xf>
    <xf numFmtId="167" fontId="13" fillId="4" borderId="1" applyAlignment="1" pivotButton="0" quotePrefix="0" xfId="9">
      <alignment horizontal="center" vertical="center"/>
    </xf>
    <xf numFmtId="166" fontId="13" fillId="4" borderId="1" applyAlignment="1" pivotButton="0" quotePrefix="0" xfId="9">
      <alignment horizontal="center" vertical="center"/>
    </xf>
    <xf numFmtId="167" fontId="14" fillId="0" borderId="7" applyAlignment="1" pivotButton="0" quotePrefix="0" xfId="9">
      <alignment horizontal="center" vertical="center"/>
    </xf>
    <xf numFmtId="167" fontId="15" fillId="0" borderId="7" applyAlignment="1" pivotButton="0" quotePrefix="0" xfId="9">
      <alignment horizontal="center" vertical="center"/>
    </xf>
    <xf numFmtId="167" fontId="8" fillId="0" borderId="7" applyAlignment="1" pivotButton="0" quotePrefix="0" xfId="9">
      <alignment horizontal="center" vertical="center"/>
    </xf>
    <xf numFmtId="170" fontId="8" fillId="0" borderId="7" applyAlignment="1" pivotButton="0" quotePrefix="0" xfId="9">
      <alignment horizontal="center" vertical="center"/>
    </xf>
    <xf numFmtId="2" fontId="8" fillId="0" borderId="7" applyAlignment="1" pivotButton="0" quotePrefix="0" xfId="9">
      <alignment horizontal="center" vertical="center"/>
    </xf>
    <xf numFmtId="167" fontId="16" fillId="0" borderId="7" applyAlignment="1" pivotButton="0" quotePrefix="0" xfId="9">
      <alignment horizontal="center" vertical="center"/>
    </xf>
    <xf numFmtId="3" fontId="16" fillId="0" borderId="7" applyAlignment="1" pivotButton="0" quotePrefix="0" xfId="9">
      <alignment horizontal="center" vertical="center"/>
    </xf>
    <xf numFmtId="3" fontId="8" fillId="0" borderId="7" applyAlignment="1" pivotButton="0" quotePrefix="0" xfId="9">
      <alignment horizontal="center" vertical="center"/>
    </xf>
    <xf numFmtId="170" fontId="16" fillId="0" borderId="7" applyAlignment="1" pivotButton="0" quotePrefix="0" xfId="9">
      <alignment horizontal="center" vertical="center"/>
    </xf>
    <xf numFmtId="2" fontId="14" fillId="0" borderId="7" applyAlignment="1" pivotButton="0" quotePrefix="0" xfId="9">
      <alignment horizontal="center" vertical="center"/>
    </xf>
    <xf numFmtId="172" fontId="8" fillId="0" borderId="7" applyAlignment="1" pivotButton="0" quotePrefix="0" xfId="9">
      <alignment horizontal="center" vertical="center"/>
    </xf>
    <xf numFmtId="0" fontId="15" fillId="6" borderId="8" applyAlignment="1" pivotButton="0" quotePrefix="0" xfId="9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5" fillId="0" borderId="1" applyAlignment="1" pivotButton="0" quotePrefix="0" xfId="5">
      <alignment horizontal="right" vertical="top"/>
    </xf>
    <xf numFmtId="0" fontId="0" fillId="0" borderId="3" pivotButton="0" quotePrefix="0" xfId="0"/>
    <xf numFmtId="0" fontId="16" fillId="5" borderId="6" applyAlignment="1" pivotButton="0" quotePrefix="0" xfId="9">
      <alignment horizontal="center" vertical="center"/>
    </xf>
    <xf numFmtId="0" fontId="14" fillId="7" borderId="9" applyAlignment="1" pivotButton="0" quotePrefix="0" xfId="9">
      <alignment horizontal="center" vertical="center"/>
    </xf>
    <xf numFmtId="0" fontId="18" fillId="0" borderId="1" applyAlignment="1" pivotButton="0" quotePrefix="0" xfId="10">
      <alignment horizontal="left" vertical="center"/>
    </xf>
    <xf numFmtId="0" fontId="13" fillId="0" borderId="3" applyAlignment="1" pivotButton="0" quotePrefix="0" xfId="10">
      <alignment horizontal="left" vertical="center"/>
    </xf>
    <xf numFmtId="0" fontId="8" fillId="0" borderId="3" applyAlignment="1" pivotButton="0" quotePrefix="0" xfId="10">
      <alignment horizontal="left" vertical="center"/>
    </xf>
    <xf numFmtId="0" fontId="9" fillId="0" borderId="3" applyAlignment="1" pivotButton="0" quotePrefix="0" xfId="11">
      <alignment horizontal="left" vertical="top" wrapText="1"/>
    </xf>
  </cellXfs>
  <cellStyles count="13">
    <cellStyle name="Normal" xfId="0" builtinId="0" hidden="0"/>
    <cellStyle name="ps_title" xfId="1" hidden="0"/>
    <cellStyle name="ps_subtitle" xfId="2" hidden="0"/>
    <cellStyle name="ps_section" xfId="3" hidden="0"/>
    <cellStyle name="ps_header" xfId="4" hidden="0"/>
    <cellStyle name="ps_label" xfId="5" hidden="0"/>
    <cellStyle name="ps_kpi_label" xfId="6" hidden="0"/>
    <cellStyle name="ps_kpi_value" xfId="7" hidden="0"/>
    <cellStyle name="ps_kpi_note" xfId="8" hidden="0"/>
    <cellStyle name="ps_cell" xfId="9" hidden="0"/>
    <cellStyle name="ps_cell_left" xfId="10" hidden="0"/>
    <cellStyle name="ps_note" xfId="11" hidden="0"/>
    <cellStyle name="ps_note_flow" xfId="12" hidden="0"/>
  </cellStyles>
  <dxfs count="7">
    <dxf>
      <font>
        <b val="1"/>
        <color rgb="00065F46"/>
      </font>
      <fill>
        <patternFill patternType="solid">
          <fgColor rgb="00CCFBF1"/>
        </patternFill>
      </fill>
    </dxf>
    <dxf>
      <font>
        <b val="1"/>
        <color rgb="00991B1B"/>
      </font>
      <fill>
        <patternFill patternType="solid">
          <fgColor rgb="00FEE2E2"/>
        </patternFill>
      </fill>
    </dxf>
    <dxf>
      <fill>
        <patternFill patternType="solid">
          <fgColor rgb="00CCFBF1"/>
        </patternFill>
      </fill>
    </dxf>
    <dxf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065F46"/>
      </font>
    </dxf>
    <dxf>
      <font>
        <b val="1"/>
        <color rgb="00991B1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strRef>
              <f>'Trades'!AY1</f>
            </strRef>
          </tx>
          <spPr>
            <a:ln w="22000">
              <a:solidFill>
                <a:srgbClr val="2563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'Trades'!$A$2:$A$74</f>
            </numRef>
          </cat>
          <val>
            <numRef>
              <f>'Trades'!$AY$2:$AY$74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0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pieChart>
        <varyColors val="1"/>
        <ser>
          <idx val="0"/>
          <order val="0"/>
          <tx>
            <strRef>
              <f>'Dashboard'!W25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563EB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DC2626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0D9488"/>
              </a:solidFill>
              <a:ln>
                <a:solidFill>
                  <a:srgbClr val="FFFFFF"/>
                </a:solidFill>
                <a:prstDash val="solid"/>
              </a:ln>
            </spPr>
          </dPt>
          <cat>
            <strRef>
              <f>'Dashboard'!$V$26:$V$28</f>
            </strRef>
          </cat>
          <val>
            <numRef>
              <f>'Dashboard'!$W$26:$W$28</f>
            </numRef>
          </val>
        </ser>
        <dLbls>
          <showLegendKey val="0"/>
          <showVal val="0"/>
          <showCatName val="0"/>
          <showSerName val="0"/>
          <showPercent val="1"/>
          <showBubbleSize val="0"/>
        </dLbls>
        <firstSliceAng val="0"/>
      </pieChart>
    </plotArea>
    <legend>
      <legendPos val="r"/>
    </legend>
    <plotVisOnly val="0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'Dashboard'!W44</f>
            </strRef>
          </tx>
          <spPr>
            <a:solidFill>
              <a:srgbClr val="2563EB"/>
            </a:solidFill>
            <a:ln>
              <a:prstDash val="solid"/>
            </a:ln>
          </spPr>
          <cat>
            <strRef>
              <f>'Dashboard'!$V$45:$V$53</f>
            </strRef>
          </cat>
          <val>
            <numRef>
              <f>'Dashboard'!$W$45:$W$53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0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scatterChart>
        <scatterStyle val="marker"/>
        <varyColors val="0"/>
        <ser>
          <idx val="0"/>
          <order val="0"/>
          <tx>
            <strRef>
              <f>'Trades'!AH1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563EB"/>
              </a:solidFill>
              <a:ln>
                <a:solidFill>
                  <a:srgbClr val="FFFFFF"/>
                </a:solidFill>
                <a:prstDash val="solid"/>
              </a:ln>
            </spPr>
          </marker>
          <xVal>
            <numRef>
              <f>'Trades'!$AI$2:$AI$74</f>
            </numRef>
          </xVal>
          <yVal>
            <numRef>
              <f>'Trades'!$AH$2:$AH$74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majorTickMark val="none"/>
        <minorTickMark val="none"/>
        <tickLblPos val="low"/>
        <crossAx val="20"/>
      </valAx>
      <valAx>
        <axId val="20"/>
        <scaling>
          <orientation val="minMax"/>
        </scaling>
        <delete val="0"/>
        <axPos val="l"/>
        <majorGridlines/>
        <majorTickMark val="none"/>
        <minorTickMark val="none"/>
        <tickLblPos val="low"/>
        <crossAx val="10"/>
      </valAx>
    </plotArea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75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25</row>
      <rowOff>0</rowOff>
    </from>
    <ext cx="396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44</row>
      <rowOff>0</rowOff>
    </from>
    <ext cx="756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44</row>
      <rowOff>0</rowOff>
    </from>
    <ext cx="396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des" displayName="Trades" ref="A1:BG74" headerRowCount="1">
  <autoFilter ref="A1:BG74"/>
  <tableColumns count="59">
    <tableColumn id="1" name="#"/>
    <tableColumn id="2" name="Ticket"/>
    <tableColumn id="3" name="Symbol"/>
    <tableColumn id="4" name="Side"/>
    <tableColumn id="5" name="Volume"/>
    <tableColumn id="6" name="Opened"/>
    <tableColumn id="7" name="Closed"/>
    <tableColumn id="8" name="Weekday"/>
    <tableColumn id="9" name="Hour"/>
    <tableColumn id="10" name="Session"/>
    <tableColumn id="11" name="Week"/>
    <tableColumn id="12" name="Month"/>
    <tableColumn id="13" name="Duration"/>
    <tableColumn id="14" name="Duration (s)"/>
    <tableColumn id="15" name="Duration (min)"/>
    <tableColumn id="16" name="Duration band"/>
    <tableColumn id="17" name="Entry"/>
    <tableColumn id="18" name="Exit"/>
    <tableColumn id="19" name="SL initial"/>
    <tableColumn id="20" name="TP initial"/>
    <tableColumn id="21" name="SL final"/>
    <tableColumn id="22" name="SL moved"/>
    <tableColumn id="23" name="SL move (pts)"/>
    <tableColumn id="24" name="Risk"/>
    <tableColumn id="25" name="Planned RR"/>
    <tableColumn id="26" name="R multiple"/>
    <tableColumn id="27" name="R band"/>
    <tableColumn id="28" name="Gross"/>
    <tableColumn id="29" name="Costs"/>
    <tableColumn id="30" name="Net"/>
    <tableColumn id="31" name="Outcome"/>
    <tableColumn id="32" name="Exit reason"/>
    <tableColumn id="33" name="Result (pts)"/>
    <tableColumn id="34" name="MFE"/>
    <tableColumn id="35" name="MAE"/>
    <tableColumn id="36" name="MFE (R)"/>
    <tableColumn id="37" name="MAE (R)"/>
    <tableColumn id="38" name="MFE price"/>
    <tableColumn id="39" name="MAE price"/>
    <tableColumn id="40" name="Time to MFE"/>
    <tableColumn id="41" name="Time to MAE"/>
    <tableColumn id="42" name="Heat %"/>
    <tableColumn id="43" name="Capture"/>
    <tableColumn id="44" name="Giveback"/>
    <tableColumn id="45" name="Entry eff."/>
    <tableColumn id="46" name="Exit eff."/>
    <tableColumn id="47" name="Total eff."/>
    <tableColumn id="48" name="MFE first"/>
    <tableColumn id="49" name="Near miss"/>
    <tableColumn id="50" name="Risk % bal."/>
    <tableColumn id="51" name="Balance after"/>
    <tableColumn id="52" name="Drawdown"/>
    <tableColumn id="53" name="Drawdown %"/>
    <tableColumn id="54" name="Streak"/>
    <tableColumn id="55" name="Excursion src"/>
    <tableColumn id="56" name="Samples"/>
    <tableColumn id="57" name="Shots"/>
    <tableColumn id="58" name="Folder"/>
    <tableColumn id="59" name="Not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hartIndex" displayName="ChartIndex" ref="A4:I661" headerRowCount="1">
  <autoFilter ref="A4:I661"/>
  <tableColumns count="9">
    <tableColumn id="1" name="#"/>
    <tableColumn id="2" name="Ticket"/>
    <tableColumn id="3" name="Symbol"/>
    <tableColumn id="4" name="Side"/>
    <tableColumn id="5" name="TF"/>
    <tableColumn id="6" name="Event"/>
    <tableColumn id="7" name="Outcome"/>
    <tableColumn id="8" name="Image"/>
    <tableColumn id="9" name="Folde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9.xml.rels><Relationships xmlns="http://schemas.openxmlformats.org/package/2006/relationships"><Relationship Type="http://schemas.openxmlformats.org/officeDocument/2006/relationships/hyperlink" Target="../Charts/3214929/DJIUSD/2026-07-29_55869735_DJIUSD_buy_loss/10_55869735_DJIUSD_buy_H4_close_2026-07-29-135043.png" TargetMode="External" Id="rId1" /><Relationship Type="http://schemas.openxmlformats.org/officeDocument/2006/relationships/hyperlink" Target="../Charts/3214929/DJIUSD/2026-07-29_55869735_DJIUSD_buy_loss/20_55869735_DJIUSD_buy_H1_close_2026-07-29-135043.png" TargetMode="External" Id="rId2" /><Relationship Type="http://schemas.openxmlformats.org/officeDocument/2006/relationships/hyperlink" Target="../Charts/3214929/DJIUSD/2026-07-29_55869735_DJIUSD_buy_loss/30_55869735_DJIUSD_buy_M15_close_2026-07-29-135043.png" TargetMode="External" Id="rId3" /><Relationship Type="http://schemas.openxmlformats.org/officeDocument/2006/relationships/hyperlink" Target="../Charts/3214929/DJIUSD/2026-07-29_55869735_DJIUSD_buy_loss/30_55869735_DJIUSD_buy_M15_open_2026-07-29-133033.png" TargetMode="External" Id="rId4" /><Relationship Type="http://schemas.openxmlformats.org/officeDocument/2006/relationships/hyperlink" Target="../Charts/3214929/DJIUSD/2026-07-29_55869735_DJIUSD_buy_loss/40_55869735_DJIUSD_buy_M5_close_2026-07-29-135043.png" TargetMode="External" Id="rId5" /><Relationship Type="http://schemas.openxmlformats.org/officeDocument/2006/relationships/hyperlink" Target="../Charts/3214929/DJIUSD/2026-07-29_55869735_DJIUSD_buy_loss/40_55869735_DJIUSD_buy_M5_open_2026-07-29-133033.png" TargetMode="External" Id="rId6" /><Relationship Type="http://schemas.openxmlformats.org/officeDocument/2006/relationships/hyperlink" Target="../Charts/3214929/DJIUSD/2026-07-29_55869735_DJIUSD_buy_loss/50_55869735_DJIUSD_buy_M1_close_2026-07-29-135043.png" TargetMode="External" Id="rId7" /><Relationship Type="http://schemas.openxmlformats.org/officeDocument/2006/relationships/hyperlink" Target="../Charts/3214929/DJIUSD/2026-07-29_55869735_DJIUSD_buy_loss/50_55869735_DJIUSD_buy_M1_journey_2026-07-29-133033.png" TargetMode="External" Id="rId8" /><Relationship Type="http://schemas.openxmlformats.org/officeDocument/2006/relationships/hyperlink" Target="../Charts/3214929/DJIUSD/2026-07-29_55869735_DJIUSD_buy_loss/50_55869735_DJIUSD_buy_M1_open_2026-07-29-133033.png" TargetMode="External" Id="rId9" /><Relationship Type="http://schemas.openxmlformats.org/officeDocument/2006/relationships/hyperlink" Target="../Charts/3214929/DAXEUR/2026-07-29_55899455_DAXEUR_sell_loss/10_55899455_DAXEUR_sell_H4_close_2026-07-29-140213.png" TargetMode="External" Id="rId10" /><Relationship Type="http://schemas.openxmlformats.org/officeDocument/2006/relationships/hyperlink" Target="../Charts/3214929/DAXEUR/2026-07-29_55899455_DAXEUR_sell_loss/20_55899455_DAXEUR_sell_H1_close_2026-07-29-140213.png" TargetMode="External" Id="rId11" /><Relationship Type="http://schemas.openxmlformats.org/officeDocument/2006/relationships/hyperlink" Target="../Charts/3214929/DAXEUR/2026-07-29_55899455_DAXEUR_sell_loss/30_55899455_DAXEUR_sell_M15_close_2026-07-29-140213.png" TargetMode="External" Id="rId12" /><Relationship Type="http://schemas.openxmlformats.org/officeDocument/2006/relationships/hyperlink" Target="../Charts/3214929/DAXEUR/2026-07-29_55899455_DAXEUR_sell_loss/30_55899455_DAXEUR_sell_M15_open_2026-07-29-135312.png" TargetMode="External" Id="rId13" /><Relationship Type="http://schemas.openxmlformats.org/officeDocument/2006/relationships/hyperlink" Target="../Charts/3214929/DAXEUR/2026-07-29_55899455_DAXEUR_sell_loss/40_55899455_DAXEUR_sell_M5_close_2026-07-29-140213.png" TargetMode="External" Id="rId14" /><Relationship Type="http://schemas.openxmlformats.org/officeDocument/2006/relationships/hyperlink" Target="../Charts/3214929/DAXEUR/2026-07-29_55899455_DAXEUR_sell_loss/40_55899455_DAXEUR_sell_M5_open_2026-07-29-135312.png" TargetMode="External" Id="rId15" /><Relationship Type="http://schemas.openxmlformats.org/officeDocument/2006/relationships/hyperlink" Target="../Charts/3214929/DAXEUR/2026-07-29_55899455_DAXEUR_sell_loss/50_55899455_DAXEUR_sell_M1_close_2026-07-29-140213.png" TargetMode="External" Id="rId16" /><Relationship Type="http://schemas.openxmlformats.org/officeDocument/2006/relationships/hyperlink" Target="../Charts/3214929/DAXEUR/2026-07-29_55899455_DAXEUR_sell_loss/50_55899455_DAXEUR_sell_M1_journey_2026-07-29-135312.png" TargetMode="External" Id="rId17" /><Relationship Type="http://schemas.openxmlformats.org/officeDocument/2006/relationships/hyperlink" Target="../Charts/3214929/DAXEUR/2026-07-29_55899455_DAXEUR_sell_loss/50_55899455_DAXEUR_sell_M1_open_2026-07-29-135312.png" TargetMode="External" Id="rId18" /><Relationship Type="http://schemas.openxmlformats.org/officeDocument/2006/relationships/hyperlink" Target="../Charts/3214929/DJIUSD/2026-07-29_55923534_DJIUSD_buy_loss/10_55923534_DJIUSD_buy_H4_close_2026-07-29-142601.png" TargetMode="External" Id="rId19" /><Relationship Type="http://schemas.openxmlformats.org/officeDocument/2006/relationships/hyperlink" Target="../Charts/3214929/DJIUSD/2026-07-29_55923534_DJIUSD_buy_loss/20_55923534_DJIUSD_buy_H1_close_2026-07-29-142601.png" TargetMode="External" Id="rId20" /><Relationship Type="http://schemas.openxmlformats.org/officeDocument/2006/relationships/hyperlink" Target="../Charts/3214929/DJIUSD/2026-07-29_55923534_DJIUSD_buy_loss/30_55923534_DJIUSD_buy_M15_close_2026-07-29-142601.png" TargetMode="External" Id="rId21" /><Relationship Type="http://schemas.openxmlformats.org/officeDocument/2006/relationships/hyperlink" Target="../Charts/3214929/DJIUSD/2026-07-29_55923534_DJIUSD_buy_loss/30_55923534_DJIUSD_buy_M15_open_2026-07-29-141356.png" TargetMode="External" Id="rId22" /><Relationship Type="http://schemas.openxmlformats.org/officeDocument/2006/relationships/hyperlink" Target="../Charts/3214929/DJIUSD/2026-07-29_55923534_DJIUSD_buy_loss/40_55923534_DJIUSD_buy_M5_close_2026-07-29-142601.png" TargetMode="External" Id="rId23" /><Relationship Type="http://schemas.openxmlformats.org/officeDocument/2006/relationships/hyperlink" Target="../Charts/3214929/DJIUSD/2026-07-29_55923534_DJIUSD_buy_loss/40_55923534_DJIUSD_buy_M5_open_2026-07-29-141356.png" TargetMode="External" Id="rId24" /><Relationship Type="http://schemas.openxmlformats.org/officeDocument/2006/relationships/hyperlink" Target="../Charts/3214929/DJIUSD/2026-07-29_55923534_DJIUSD_buy_loss/50_55923534_DJIUSD_buy_M1_close_2026-07-29-142601.png" TargetMode="External" Id="rId25" /><Relationship Type="http://schemas.openxmlformats.org/officeDocument/2006/relationships/hyperlink" Target="../Charts/3214929/DJIUSD/2026-07-29_55923534_DJIUSD_buy_loss/50_55923534_DJIUSD_buy_M1_journey_2026-07-29-141356.png" TargetMode="External" Id="rId26" /><Relationship Type="http://schemas.openxmlformats.org/officeDocument/2006/relationships/hyperlink" Target="../Charts/3214929/DJIUSD/2026-07-29_55923534_DJIUSD_buy_loss/50_55923534_DJIUSD_buy_M1_open_2026-07-29-141356.png" TargetMode="External" Id="rId27" /><Relationship Type="http://schemas.openxmlformats.org/officeDocument/2006/relationships/hyperlink" Target="../Charts/3214929/DJIUSD/2026-07-29_55942814_DJIUSD_buy_loss/10_55942814_DJIUSD_buy_H4_close_2026-07-29-145720.png" TargetMode="External" Id="rId28" /><Relationship Type="http://schemas.openxmlformats.org/officeDocument/2006/relationships/hyperlink" Target="../Charts/3214929/DJIUSD/2026-07-29_55942814_DJIUSD_buy_loss/20_55942814_DJIUSD_buy_H1_close_2026-07-29-145720.png" TargetMode="External" Id="rId29" /><Relationship Type="http://schemas.openxmlformats.org/officeDocument/2006/relationships/hyperlink" Target="../Charts/3214929/DJIUSD/2026-07-29_55942814_DJIUSD_buy_loss/30_55942814_DJIUSD_buy_M15_close_2026-07-29-145720.png" TargetMode="External" Id="rId30" /><Relationship Type="http://schemas.openxmlformats.org/officeDocument/2006/relationships/hyperlink" Target="../Charts/3214929/DJIUSD/2026-07-29_55942814_DJIUSD_buy_loss/30_55942814_DJIUSD_buy_M15_open_2026-07-29-144213.png" TargetMode="External" Id="rId31" /><Relationship Type="http://schemas.openxmlformats.org/officeDocument/2006/relationships/hyperlink" Target="../Charts/3214929/DJIUSD/2026-07-29_55942814_DJIUSD_buy_loss/40_55942814_DJIUSD_buy_M5_close_2026-07-29-145720.png" TargetMode="External" Id="rId32" /><Relationship Type="http://schemas.openxmlformats.org/officeDocument/2006/relationships/hyperlink" Target="../Charts/3214929/DJIUSD/2026-07-29_55942814_DJIUSD_buy_loss/40_55942814_DJIUSD_buy_M5_open_2026-07-29-144213.png" TargetMode="External" Id="rId33" /><Relationship Type="http://schemas.openxmlformats.org/officeDocument/2006/relationships/hyperlink" Target="../Charts/3214929/DJIUSD/2026-07-29_55942814_DJIUSD_buy_loss/50_55942814_DJIUSD_buy_M1_close_2026-07-29-145720.png" TargetMode="External" Id="rId34" /><Relationship Type="http://schemas.openxmlformats.org/officeDocument/2006/relationships/hyperlink" Target="../Charts/3214929/DJIUSD/2026-07-29_55942814_DJIUSD_buy_loss/50_55942814_DJIUSD_buy_M1_journey_2026-07-29-144213.png" TargetMode="External" Id="rId35" /><Relationship Type="http://schemas.openxmlformats.org/officeDocument/2006/relationships/hyperlink" Target="../Charts/3214929/DJIUSD/2026-07-29_55942814_DJIUSD_buy_loss/50_55942814_DJIUSD_buy_M1_open_2026-07-29-144213.png" TargetMode="External" Id="rId36" /><Relationship Type="http://schemas.openxmlformats.org/officeDocument/2006/relationships/hyperlink" Target="../Charts/3214929/DJIUSD/2026-07-29_55934591_DJIUSD_buy_loss/10_55934591_DJIUSD_buy_H4_close_2026-07-29-152355.png" TargetMode="External" Id="rId37" /><Relationship Type="http://schemas.openxmlformats.org/officeDocument/2006/relationships/hyperlink" Target="../Charts/3214929/DJIUSD/2026-07-29_55934591_DJIUSD_buy_loss/20_55934591_DJIUSD_buy_H1_close_2026-07-29-152355.png" TargetMode="External" Id="rId38" /><Relationship Type="http://schemas.openxmlformats.org/officeDocument/2006/relationships/hyperlink" Target="../Charts/3214929/DJIUSD/2026-07-29_55934591_DJIUSD_buy_loss/30_55934591_DJIUSD_buy_M15_close_2026-07-29-152355.png" TargetMode="External" Id="rId39" /><Relationship Type="http://schemas.openxmlformats.org/officeDocument/2006/relationships/hyperlink" Target="../Charts/3214929/DJIUSD/2026-07-29_55934591_DJIUSD_buy_loss/30_55934591_DJIUSD_buy_M15_open_2026-07-29-142723.png" TargetMode="External" Id="rId40" /><Relationship Type="http://schemas.openxmlformats.org/officeDocument/2006/relationships/hyperlink" Target="../Charts/3214929/DJIUSD/2026-07-29_55934591_DJIUSD_buy_loss/40_55934591_DJIUSD_buy_M5_close_2026-07-29-152355.png" TargetMode="External" Id="rId41" /><Relationship Type="http://schemas.openxmlformats.org/officeDocument/2006/relationships/hyperlink" Target="../Charts/3214929/DJIUSD/2026-07-29_55934591_DJIUSD_buy_loss/40_55934591_DJIUSD_buy_M5_open_2026-07-29-142723.png" TargetMode="External" Id="rId42" /><Relationship Type="http://schemas.openxmlformats.org/officeDocument/2006/relationships/hyperlink" Target="../Charts/3214929/DJIUSD/2026-07-29_55934591_DJIUSD_buy_loss/50_55934591_DJIUSD_buy_M1_close_2026-07-29-152355.png" TargetMode="External" Id="rId43" /><Relationship Type="http://schemas.openxmlformats.org/officeDocument/2006/relationships/hyperlink" Target="../Charts/3214929/DJIUSD/2026-07-29_55934591_DJIUSD_buy_loss/50_55934591_DJIUSD_buy_M1_journey_2026-07-29-142723.png" TargetMode="External" Id="rId44" /><Relationship Type="http://schemas.openxmlformats.org/officeDocument/2006/relationships/hyperlink" Target="../Charts/3214929/DJIUSD/2026-07-29_55934591_DJIUSD_buy_loss/50_55934591_DJIUSD_buy_M1_open_2026-07-29-142723.png" TargetMode="External" Id="rId45" /><Relationship Type="http://schemas.openxmlformats.org/officeDocument/2006/relationships/hyperlink" Target="../Charts/3214929/XAUUSD/2026-07-29_55973757_XAUUSD_sell_loss/10_55973757_XAUUSD_sell_H4_close_2026-07-29-160722.png" TargetMode="External" Id="rId46" /><Relationship Type="http://schemas.openxmlformats.org/officeDocument/2006/relationships/hyperlink" Target="../Charts/3214929/XAUUSD/2026-07-29_55973757_XAUUSD_sell_loss/20_55973757_XAUUSD_sell_H1_close_2026-07-29-160722.png" TargetMode="External" Id="rId47" /><Relationship Type="http://schemas.openxmlformats.org/officeDocument/2006/relationships/hyperlink" Target="../Charts/3214929/XAUUSD/2026-07-29_55973757_XAUUSD_sell_loss/30_55973757_XAUUSD_sell_M15_close_2026-07-29-160722.png" TargetMode="External" Id="rId48" /><Relationship Type="http://schemas.openxmlformats.org/officeDocument/2006/relationships/hyperlink" Target="../Charts/3214929/XAUUSD/2026-07-29_55973757_XAUUSD_sell_loss/30_55973757_XAUUSD_sell_M15_open_2026-07-29-155421.png" TargetMode="External" Id="rId49" /><Relationship Type="http://schemas.openxmlformats.org/officeDocument/2006/relationships/hyperlink" Target="../Charts/3214929/XAUUSD/2026-07-29_55973757_XAUUSD_sell_loss/40_55973757_XAUUSD_sell_M5_close_2026-07-29-160722.png" TargetMode="External" Id="rId50" /><Relationship Type="http://schemas.openxmlformats.org/officeDocument/2006/relationships/hyperlink" Target="../Charts/3214929/XAUUSD/2026-07-29_55973757_XAUUSD_sell_loss/40_55973757_XAUUSD_sell_M5_open_2026-07-29-155421.png" TargetMode="External" Id="rId51" /><Relationship Type="http://schemas.openxmlformats.org/officeDocument/2006/relationships/hyperlink" Target="../Charts/3214929/XAUUSD/2026-07-29_55973757_XAUUSD_sell_loss/50_55973757_XAUUSD_sell_M1_close_2026-07-29-160722.png" TargetMode="External" Id="rId52" /><Relationship Type="http://schemas.openxmlformats.org/officeDocument/2006/relationships/hyperlink" Target="../Charts/3214929/XAUUSD/2026-07-29_55973757_XAUUSD_sell_loss/50_55973757_XAUUSD_sell_M1_journey_2026-07-29-155421.png" TargetMode="External" Id="rId53" /><Relationship Type="http://schemas.openxmlformats.org/officeDocument/2006/relationships/hyperlink" Target="../Charts/3214929/XAUUSD/2026-07-29_55973757_XAUUSD_sell_loss/50_55973757_XAUUSD_sell_M1_open_2026-07-29-155421.png" TargetMode="External" Id="rId54" /><Relationship Type="http://schemas.openxmlformats.org/officeDocument/2006/relationships/hyperlink" Target="../Charts/3214929/DAXEUR/2026-07-29_55955183_DAXEUR_sell_win/10_55955183_DAXEUR_sell_H4_close_2026-07-29-161455.png" TargetMode="External" Id="rId55" /><Relationship Type="http://schemas.openxmlformats.org/officeDocument/2006/relationships/hyperlink" Target="../Charts/3214929/DAXEUR/2026-07-29_55955183_DAXEUR_sell_win/20_55955183_DAXEUR_sell_H1_close_2026-07-29-161455.png" TargetMode="External" Id="rId56" /><Relationship Type="http://schemas.openxmlformats.org/officeDocument/2006/relationships/hyperlink" Target="../Charts/3214929/DAXEUR/2026-07-29_55955183_DAXEUR_sell_win/30_55955183_DAXEUR_sell_M15_close_2026-07-29-161455.png" TargetMode="External" Id="rId57" /><Relationship Type="http://schemas.openxmlformats.org/officeDocument/2006/relationships/hyperlink" Target="../Charts/3214929/DAXEUR/2026-07-29_55955183_DAXEUR_sell_win/30_55955183_DAXEUR_sell_M15_open_2026-07-29-150247.png" TargetMode="External" Id="rId58" /><Relationship Type="http://schemas.openxmlformats.org/officeDocument/2006/relationships/hyperlink" Target="../Charts/3214929/DAXEUR/2026-07-29_55955183_DAXEUR_sell_win/40_55955183_DAXEUR_sell_M5_close_2026-07-29-161455.png" TargetMode="External" Id="rId59" /><Relationship Type="http://schemas.openxmlformats.org/officeDocument/2006/relationships/hyperlink" Target="../Charts/3214929/DAXEUR/2026-07-29_55955183_DAXEUR_sell_win/40_55955183_DAXEUR_sell_M5_open_2026-07-29-150247.png" TargetMode="External" Id="rId60" /><Relationship Type="http://schemas.openxmlformats.org/officeDocument/2006/relationships/hyperlink" Target="../Charts/3214929/DAXEUR/2026-07-29_55955183_DAXEUR_sell_win/50_55955183_DAXEUR_sell_M1_close_2026-07-29-161455.png" TargetMode="External" Id="rId61" /><Relationship Type="http://schemas.openxmlformats.org/officeDocument/2006/relationships/hyperlink" Target="../Charts/3214929/DAXEUR/2026-07-29_55955183_DAXEUR_sell_win/50_55955183_DAXEUR_sell_M1_journey_2026-07-29-150247.png" TargetMode="External" Id="rId62" /><Relationship Type="http://schemas.openxmlformats.org/officeDocument/2006/relationships/hyperlink" Target="../Charts/3214929/DAXEUR/2026-07-29_55955183_DAXEUR_sell_win/50_55955183_DAXEUR_sell_M1_open_2026-07-29-150247.png" TargetMode="External" Id="rId63" /><Relationship Type="http://schemas.openxmlformats.org/officeDocument/2006/relationships/hyperlink" Target="../Charts/3214929/DAXEUR/2026-07-29_55983574_DAXEUR_sell_loss/10_55983574_DAXEUR_sell_H4_close_2026-07-29-162307.png" TargetMode="External" Id="rId64" /><Relationship Type="http://schemas.openxmlformats.org/officeDocument/2006/relationships/hyperlink" Target="../Charts/3214929/DAXEUR/2026-07-29_55983574_DAXEUR_sell_loss/20_55983574_DAXEUR_sell_H1_close_2026-07-29-162307.png" TargetMode="External" Id="rId65" /><Relationship Type="http://schemas.openxmlformats.org/officeDocument/2006/relationships/hyperlink" Target="../Charts/3214929/DAXEUR/2026-07-29_55983574_DAXEUR_sell_loss/30_55983574_DAXEUR_sell_M15_close_2026-07-29-162307.png" TargetMode="External" Id="rId66" /><Relationship Type="http://schemas.openxmlformats.org/officeDocument/2006/relationships/hyperlink" Target="../Charts/3214929/DAXEUR/2026-07-29_55983574_DAXEUR_sell_loss/30_55983574_DAXEUR_sell_M15_open_2026-07-29-161815.png" TargetMode="External" Id="rId67" /><Relationship Type="http://schemas.openxmlformats.org/officeDocument/2006/relationships/hyperlink" Target="../Charts/3214929/DAXEUR/2026-07-29_55983574_DAXEUR_sell_loss/40_55983574_DAXEUR_sell_M5_close_2026-07-29-162307.png" TargetMode="External" Id="rId68" /><Relationship Type="http://schemas.openxmlformats.org/officeDocument/2006/relationships/hyperlink" Target="../Charts/3214929/DAXEUR/2026-07-29_55983574_DAXEUR_sell_loss/40_55983574_DAXEUR_sell_M5_open_2026-07-29-161815.png" TargetMode="External" Id="rId69" /><Relationship Type="http://schemas.openxmlformats.org/officeDocument/2006/relationships/hyperlink" Target="../Charts/3214929/DAXEUR/2026-07-29_55983574_DAXEUR_sell_loss/50_55983574_DAXEUR_sell_M1_close_2026-07-29-162307.png" TargetMode="External" Id="rId70" /><Relationship Type="http://schemas.openxmlformats.org/officeDocument/2006/relationships/hyperlink" Target="../Charts/3214929/DAXEUR/2026-07-29_55983574_DAXEUR_sell_loss/50_55983574_DAXEUR_sell_M1_journey_2026-07-29-161815.png" TargetMode="External" Id="rId71" /><Relationship Type="http://schemas.openxmlformats.org/officeDocument/2006/relationships/hyperlink" Target="../Charts/3214929/DAXEUR/2026-07-29_55983574_DAXEUR_sell_loss/50_55983574_DAXEUR_sell_M1_open_2026-07-29-161815.png" TargetMode="External" Id="rId72" /><Relationship Type="http://schemas.openxmlformats.org/officeDocument/2006/relationships/hyperlink" Target="../Charts/3214929/DAXEUR/2026-07-29_55984899_DAXEUR_sell_loss/10_55984899_DAXEUR_sell_H4_close_2026-07-29-162308.png" TargetMode="External" Id="rId73" /><Relationship Type="http://schemas.openxmlformats.org/officeDocument/2006/relationships/hyperlink" Target="../Charts/3214929/DAXEUR/2026-07-29_55984899_DAXEUR_sell_loss/20_55984899_DAXEUR_sell_H1_close_2026-07-29-162308.png" TargetMode="External" Id="rId74" /><Relationship Type="http://schemas.openxmlformats.org/officeDocument/2006/relationships/hyperlink" Target="../Charts/3214929/DAXEUR/2026-07-29_55984899_DAXEUR_sell_loss/30_55984899_DAXEUR_sell_M15_close_2026-07-29-162308.png" TargetMode="External" Id="rId75" /><Relationship Type="http://schemas.openxmlformats.org/officeDocument/2006/relationships/hyperlink" Target="../Charts/3214929/DAXEUR/2026-07-29_55984899_DAXEUR_sell_loss/30_55984899_DAXEUR_sell_M15_open_2026-07-29-162218.png" TargetMode="External" Id="rId76" /><Relationship Type="http://schemas.openxmlformats.org/officeDocument/2006/relationships/hyperlink" Target="../Charts/3214929/DAXEUR/2026-07-29_55984899_DAXEUR_sell_loss/40_55984899_DAXEUR_sell_M5_close_2026-07-29-162308.png" TargetMode="External" Id="rId77" /><Relationship Type="http://schemas.openxmlformats.org/officeDocument/2006/relationships/hyperlink" Target="../Charts/3214929/DAXEUR/2026-07-29_55984899_DAXEUR_sell_loss/40_55984899_DAXEUR_sell_M5_open_2026-07-29-162218.png" TargetMode="External" Id="rId78" /><Relationship Type="http://schemas.openxmlformats.org/officeDocument/2006/relationships/hyperlink" Target="../Charts/3214929/DAXEUR/2026-07-29_55984899_DAXEUR_sell_loss/50_55984899_DAXEUR_sell_M1_close_2026-07-29-162308.png" TargetMode="External" Id="rId79" /><Relationship Type="http://schemas.openxmlformats.org/officeDocument/2006/relationships/hyperlink" Target="../Charts/3214929/DAXEUR/2026-07-29_55984899_DAXEUR_sell_loss/50_55984899_DAXEUR_sell_M1_journey_2026-07-29-162218.png" TargetMode="External" Id="rId80" /><Relationship Type="http://schemas.openxmlformats.org/officeDocument/2006/relationships/hyperlink" Target="../Charts/3214929/DAXEUR/2026-07-29_55984899_DAXEUR_sell_loss/50_55984899_DAXEUR_sell_M1_open_2026-07-29-162218.png" TargetMode="External" Id="rId81" /><Relationship Type="http://schemas.openxmlformats.org/officeDocument/2006/relationships/hyperlink" Target="../Charts/3214929/DAXEUR/2026-07-29_55957591_DAXEUR_sell_win/10_55957591_DAXEUR_sell_H4_close_2026-07-29-163352.png" TargetMode="External" Id="rId82" /><Relationship Type="http://schemas.openxmlformats.org/officeDocument/2006/relationships/hyperlink" Target="../Charts/3214929/DAXEUR/2026-07-29_55957591_DAXEUR_sell_win/20_55957591_DAXEUR_sell_H1_close_2026-07-29-163352.png" TargetMode="External" Id="rId83" /><Relationship Type="http://schemas.openxmlformats.org/officeDocument/2006/relationships/hyperlink" Target="../Charts/3214929/DAXEUR/2026-07-29_55957591_DAXEUR_sell_win/30_55957591_DAXEUR_sell_M15_close_2026-07-29-163352.png" TargetMode="External" Id="rId84" /><Relationship Type="http://schemas.openxmlformats.org/officeDocument/2006/relationships/hyperlink" Target="../Charts/3214929/DAXEUR/2026-07-29_55957591_DAXEUR_sell_win/30_55957591_DAXEUR_sell_M15_open_2026-07-29-150940.png" TargetMode="External" Id="rId85" /><Relationship Type="http://schemas.openxmlformats.org/officeDocument/2006/relationships/hyperlink" Target="../Charts/3214929/DAXEUR/2026-07-29_55957591_DAXEUR_sell_win/40_55957591_DAXEUR_sell_M5_close_2026-07-29-163352.png" TargetMode="External" Id="rId86" /><Relationship Type="http://schemas.openxmlformats.org/officeDocument/2006/relationships/hyperlink" Target="../Charts/3214929/DAXEUR/2026-07-29_55957591_DAXEUR_sell_win/40_55957591_DAXEUR_sell_M5_open_2026-07-29-150940.png" TargetMode="External" Id="rId87" /><Relationship Type="http://schemas.openxmlformats.org/officeDocument/2006/relationships/hyperlink" Target="../Charts/3214929/DAXEUR/2026-07-29_55957591_DAXEUR_sell_win/50_55957591_DAXEUR_sell_M1_close_2026-07-29-163352.png" TargetMode="External" Id="rId88" /><Relationship Type="http://schemas.openxmlformats.org/officeDocument/2006/relationships/hyperlink" Target="../Charts/3214929/DAXEUR/2026-07-29_55957591_DAXEUR_sell_win/50_55957591_DAXEUR_sell_M1_journey_2026-07-29-150940.png" TargetMode="External" Id="rId89" /><Relationship Type="http://schemas.openxmlformats.org/officeDocument/2006/relationships/hyperlink" Target="../Charts/3214929/DAXEUR/2026-07-29_55957591_DAXEUR_sell_win/50_55957591_DAXEUR_sell_M1_open_2026-07-29-150940.png" TargetMode="External" Id="rId90" /><Relationship Type="http://schemas.openxmlformats.org/officeDocument/2006/relationships/hyperlink" Target="../Charts/3214929/XAUUSD/2026-07-29_55988453_XAUUSD_sell_loss/10_55988453_XAUUSD_sell_H4_close_2026-07-29-163404.png" TargetMode="External" Id="rId91" /><Relationship Type="http://schemas.openxmlformats.org/officeDocument/2006/relationships/hyperlink" Target="../Charts/3214929/XAUUSD/2026-07-29_55988453_XAUUSD_sell_loss/20_55988453_XAUUSD_sell_H1_close_2026-07-29-163404.png" TargetMode="External" Id="rId92" /><Relationship Type="http://schemas.openxmlformats.org/officeDocument/2006/relationships/hyperlink" Target="../Charts/3214929/XAUUSD/2026-07-29_55988453_XAUUSD_sell_loss/30_55988453_XAUUSD_sell_M15_close_2026-07-29-163404.png" TargetMode="External" Id="rId93" /><Relationship Type="http://schemas.openxmlformats.org/officeDocument/2006/relationships/hyperlink" Target="../Charts/3214929/XAUUSD/2026-07-29_55988453_XAUUSD_sell_loss/30_55988453_XAUUSD_sell_M15_open_2026-07-29-163201.png" TargetMode="External" Id="rId94" /><Relationship Type="http://schemas.openxmlformats.org/officeDocument/2006/relationships/hyperlink" Target="../Charts/3214929/XAUUSD/2026-07-29_55988453_XAUUSD_sell_loss/40_55988453_XAUUSD_sell_M5_close_2026-07-29-163404.png" TargetMode="External" Id="rId95" /><Relationship Type="http://schemas.openxmlformats.org/officeDocument/2006/relationships/hyperlink" Target="../Charts/3214929/XAUUSD/2026-07-29_55988453_XAUUSD_sell_loss/40_55988453_XAUUSD_sell_M5_open_2026-07-29-163201.png" TargetMode="External" Id="rId96" /><Relationship Type="http://schemas.openxmlformats.org/officeDocument/2006/relationships/hyperlink" Target="../Charts/3214929/XAUUSD/2026-07-29_55988453_XAUUSD_sell_loss/50_55988453_XAUUSD_sell_M1_close_2026-07-29-163404.png" TargetMode="External" Id="rId97" /><Relationship Type="http://schemas.openxmlformats.org/officeDocument/2006/relationships/hyperlink" Target="../Charts/3214929/XAUUSD/2026-07-29_55988453_XAUUSD_sell_loss/50_55988453_XAUUSD_sell_M1_journey_2026-07-29-163201.png" TargetMode="External" Id="rId98" /><Relationship Type="http://schemas.openxmlformats.org/officeDocument/2006/relationships/hyperlink" Target="../Charts/3214929/XAUUSD/2026-07-29_55988453_XAUUSD_sell_loss/50_55988453_XAUUSD_sell_M1_open_2026-07-29-163201.png" TargetMode="External" Id="rId99" /><Relationship Type="http://schemas.openxmlformats.org/officeDocument/2006/relationships/hyperlink" Target="../Charts/3214929/NIKJPY/2026-07-29_55992315_NIKJPY_sell_loss/10_55992315_NIKJPY_sell_H4_close_2026-07-29-165242.png" TargetMode="External" Id="rId100" /><Relationship Type="http://schemas.openxmlformats.org/officeDocument/2006/relationships/hyperlink" Target="../Charts/3214929/NIKJPY/2026-07-29_55992315_NIKJPY_sell_loss/20_55992315_NIKJPY_sell_H1_close_2026-07-29-165242.png" TargetMode="External" Id="rId101" /><Relationship Type="http://schemas.openxmlformats.org/officeDocument/2006/relationships/hyperlink" Target="../Charts/3214929/NIKJPY/2026-07-29_55992315_NIKJPY_sell_loss/30_55992315_NIKJPY_sell_M15_close_2026-07-29-165242.png" TargetMode="External" Id="rId102" /><Relationship Type="http://schemas.openxmlformats.org/officeDocument/2006/relationships/hyperlink" Target="../Charts/3214929/NIKJPY/2026-07-29_55992315_NIKJPY_sell_loss/30_55992315_NIKJPY_sell_M15_open_2026-07-29-164712.png" TargetMode="External" Id="rId103" /><Relationship Type="http://schemas.openxmlformats.org/officeDocument/2006/relationships/hyperlink" Target="../Charts/3214929/NIKJPY/2026-07-29_55992315_NIKJPY_sell_loss/40_55992315_NIKJPY_sell_M5_close_2026-07-29-165242.png" TargetMode="External" Id="rId104" /><Relationship Type="http://schemas.openxmlformats.org/officeDocument/2006/relationships/hyperlink" Target="../Charts/3214929/NIKJPY/2026-07-29_55992315_NIKJPY_sell_loss/40_55992315_NIKJPY_sell_M5_open_2026-07-29-164712.png" TargetMode="External" Id="rId105" /><Relationship Type="http://schemas.openxmlformats.org/officeDocument/2006/relationships/hyperlink" Target="../Charts/3214929/NIKJPY/2026-07-29_55992315_NIKJPY_sell_loss/50_55992315_NIKJPY_sell_M1_close_2026-07-29-165242.png" TargetMode="External" Id="rId106" /><Relationship Type="http://schemas.openxmlformats.org/officeDocument/2006/relationships/hyperlink" Target="../Charts/3214929/NIKJPY/2026-07-29_55992315_NIKJPY_sell_loss/50_55992315_NIKJPY_sell_M1_journey_2026-07-29-164712.png" TargetMode="External" Id="rId107" /><Relationship Type="http://schemas.openxmlformats.org/officeDocument/2006/relationships/hyperlink" Target="../Charts/3214929/NIKJPY/2026-07-29_55992315_NIKJPY_sell_loss/50_55992315_NIKJPY_sell_M1_open_2026-07-29-164712.png" TargetMode="External" Id="rId108" /><Relationship Type="http://schemas.openxmlformats.org/officeDocument/2006/relationships/hyperlink" Target="../Charts/3214929/XAUUSD/2026-07-29_55991304_XAUUSD_sell_loss/10_55991304_XAUUSD_sell_H4_close_2026-07-29-165242.png" TargetMode="External" Id="rId109" /><Relationship Type="http://schemas.openxmlformats.org/officeDocument/2006/relationships/hyperlink" Target="../Charts/3214929/XAUUSD/2026-07-29_55991304_XAUUSD_sell_loss/20_55991304_XAUUSD_sell_H1_close_2026-07-29-165242.png" TargetMode="External" Id="rId110" /><Relationship Type="http://schemas.openxmlformats.org/officeDocument/2006/relationships/hyperlink" Target="../Charts/3214929/XAUUSD/2026-07-29_55991304_XAUUSD_sell_loss/30_55991304_XAUUSD_sell_M15_close_2026-07-29-165242.png" TargetMode="External" Id="rId111" /><Relationship Type="http://schemas.openxmlformats.org/officeDocument/2006/relationships/hyperlink" Target="../Charts/3214929/XAUUSD/2026-07-29_55991304_XAUUSD_sell_loss/30_55991304_XAUUSD_sell_M15_open_2026-07-29-165157.png" TargetMode="External" Id="rId112" /><Relationship Type="http://schemas.openxmlformats.org/officeDocument/2006/relationships/hyperlink" Target="../Charts/3214929/XAUUSD/2026-07-29_55991304_XAUUSD_sell_loss/40_55991304_XAUUSD_sell_M5_close_2026-07-29-165242.png" TargetMode="External" Id="rId113" /><Relationship Type="http://schemas.openxmlformats.org/officeDocument/2006/relationships/hyperlink" Target="../Charts/3214929/XAUUSD/2026-07-29_55991304_XAUUSD_sell_loss/40_55991304_XAUUSD_sell_M5_open_2026-07-29-165157.png" TargetMode="External" Id="rId114" /><Relationship Type="http://schemas.openxmlformats.org/officeDocument/2006/relationships/hyperlink" Target="../Charts/3214929/XAUUSD/2026-07-29_55991304_XAUUSD_sell_loss/50_55991304_XAUUSD_sell_M1_close_2026-07-29-165242.png" TargetMode="External" Id="rId115" /><Relationship Type="http://schemas.openxmlformats.org/officeDocument/2006/relationships/hyperlink" Target="../Charts/3214929/XAUUSD/2026-07-29_55991304_XAUUSD_sell_loss/50_55991304_XAUUSD_sell_M1_journey_2026-07-29-165157.png" TargetMode="External" Id="rId116" /><Relationship Type="http://schemas.openxmlformats.org/officeDocument/2006/relationships/hyperlink" Target="../Charts/3214929/XAUUSD/2026-07-29_55991304_XAUUSD_sell_loss/50_55991304_XAUUSD_sell_M1_open_2026-07-29-165157.png" TargetMode="External" Id="rId117" /><Relationship Type="http://schemas.openxmlformats.org/officeDocument/2006/relationships/hyperlink" Target="../Charts/3214929/XAUUSD/2026-07-29_55997123_XAUUSD_buy_loss/10_55997123_XAUUSD_buy_H4_close_2026-07-29-165900.png" TargetMode="External" Id="rId118" /><Relationship Type="http://schemas.openxmlformats.org/officeDocument/2006/relationships/hyperlink" Target="../Charts/3214929/XAUUSD/2026-07-29_55997123_XAUUSD_buy_loss/20_55997123_XAUUSD_buy_H1_close_2026-07-29-165900.png" TargetMode="External" Id="rId119" /><Relationship Type="http://schemas.openxmlformats.org/officeDocument/2006/relationships/hyperlink" Target="../Charts/3214929/XAUUSD/2026-07-29_55997123_XAUUSD_buy_loss/30_55997123_XAUUSD_buy_M15_close_2026-07-29-165900.png" TargetMode="External" Id="rId120" /><Relationship Type="http://schemas.openxmlformats.org/officeDocument/2006/relationships/hyperlink" Target="../Charts/3214929/XAUUSD/2026-07-29_55997123_XAUUSD_buy_loss/30_55997123_XAUUSD_buy_M15_open_2026-07-29-165628.png" TargetMode="External" Id="rId121" /><Relationship Type="http://schemas.openxmlformats.org/officeDocument/2006/relationships/hyperlink" Target="../Charts/3214929/XAUUSD/2026-07-29_55997123_XAUUSD_buy_loss/40_55997123_XAUUSD_buy_M5_close_2026-07-29-165900.png" TargetMode="External" Id="rId122" /><Relationship Type="http://schemas.openxmlformats.org/officeDocument/2006/relationships/hyperlink" Target="../Charts/3214929/XAUUSD/2026-07-29_55997123_XAUUSD_buy_loss/40_55997123_XAUUSD_buy_M5_open_2026-07-29-165628.png" TargetMode="External" Id="rId123" /><Relationship Type="http://schemas.openxmlformats.org/officeDocument/2006/relationships/hyperlink" Target="../Charts/3214929/XAUUSD/2026-07-29_55997123_XAUUSD_buy_loss/50_55997123_XAUUSD_buy_M1_close_2026-07-29-165900.png" TargetMode="External" Id="rId124" /><Relationship Type="http://schemas.openxmlformats.org/officeDocument/2006/relationships/hyperlink" Target="../Charts/3214929/XAUUSD/2026-07-29_55997123_XAUUSD_buy_loss/50_55997123_XAUUSD_buy_M1_journey_2026-07-29-165628.png" TargetMode="External" Id="rId125" /><Relationship Type="http://schemas.openxmlformats.org/officeDocument/2006/relationships/hyperlink" Target="../Charts/3214929/XAUUSD/2026-07-29_55997123_XAUUSD_buy_loss/50_55997123_XAUUSD_buy_M1_open_2026-07-29-165628.png" TargetMode="External" Id="rId126" /><Relationship Type="http://schemas.openxmlformats.org/officeDocument/2006/relationships/hyperlink" Target="../Charts/3214929/XAUUSD/2026-07-29_56010530_XAUUSD_buy_loss/10_56010530_XAUUSD_buy_H4_close_2026-07-29-174029.png" TargetMode="External" Id="rId127" /><Relationship Type="http://schemas.openxmlformats.org/officeDocument/2006/relationships/hyperlink" Target="../Charts/3214929/XAUUSD/2026-07-29_56010530_XAUUSD_buy_loss/20_56010530_XAUUSD_buy_H1_close_2026-07-29-174029.png" TargetMode="External" Id="rId128" /><Relationship Type="http://schemas.openxmlformats.org/officeDocument/2006/relationships/hyperlink" Target="../Charts/3214929/XAUUSD/2026-07-29_56010530_XAUUSD_buy_loss/30_56010530_XAUUSD_buy_M15_close_2026-07-29-174029.png" TargetMode="External" Id="rId129" /><Relationship Type="http://schemas.openxmlformats.org/officeDocument/2006/relationships/hyperlink" Target="../Charts/3214929/XAUUSD/2026-07-29_56010530_XAUUSD_buy_loss/30_56010530_XAUUSD_buy_M15_open_2026-07-29-172842.png" TargetMode="External" Id="rId130" /><Relationship Type="http://schemas.openxmlformats.org/officeDocument/2006/relationships/hyperlink" Target="../Charts/3214929/XAUUSD/2026-07-29_56010530_XAUUSD_buy_loss/40_56010530_XAUUSD_buy_M5_close_2026-07-29-174029.png" TargetMode="External" Id="rId131" /><Relationship Type="http://schemas.openxmlformats.org/officeDocument/2006/relationships/hyperlink" Target="../Charts/3214929/XAUUSD/2026-07-29_56010530_XAUUSD_buy_loss/40_56010530_XAUUSD_buy_M5_open_2026-07-29-172842.png" TargetMode="External" Id="rId132" /><Relationship Type="http://schemas.openxmlformats.org/officeDocument/2006/relationships/hyperlink" Target="../Charts/3214929/XAUUSD/2026-07-29_56010530_XAUUSD_buy_loss/50_56010530_XAUUSD_buy_M1_close_2026-07-29-174029.png" TargetMode="External" Id="rId133" /><Relationship Type="http://schemas.openxmlformats.org/officeDocument/2006/relationships/hyperlink" Target="../Charts/3214929/XAUUSD/2026-07-29_56010530_XAUUSD_buy_loss/50_56010530_XAUUSD_buy_M1_journey_2026-07-29-172842.png" TargetMode="External" Id="rId134" /><Relationship Type="http://schemas.openxmlformats.org/officeDocument/2006/relationships/hyperlink" Target="../Charts/3214929/XAUUSD/2026-07-29_56010530_XAUUSD_buy_loss/50_56010530_XAUUSD_buy_M1_open_2026-07-29-172842.png" TargetMode="External" Id="rId135" /><Relationship Type="http://schemas.openxmlformats.org/officeDocument/2006/relationships/hyperlink" Target="../Charts/3214929/XAUUSD/2026-07-29_56010917_XAUUSD_buy_win/10_56010917_XAUUSD_buy_H4_close_2026-07-29-174348.png" TargetMode="External" Id="rId136" /><Relationship Type="http://schemas.openxmlformats.org/officeDocument/2006/relationships/hyperlink" Target="../Charts/3214929/XAUUSD/2026-07-29_56010917_XAUUSD_buy_win/20_56010917_XAUUSD_buy_H1_close_2026-07-29-174348.png" TargetMode="External" Id="rId137" /><Relationship Type="http://schemas.openxmlformats.org/officeDocument/2006/relationships/hyperlink" Target="../Charts/3214929/XAUUSD/2026-07-29_56010917_XAUUSD_buy_win/30_56010917_XAUUSD_buy_M15_close_2026-07-29-174348.png" TargetMode="External" Id="rId138" /><Relationship Type="http://schemas.openxmlformats.org/officeDocument/2006/relationships/hyperlink" Target="../Charts/3214929/XAUUSD/2026-07-29_56010917_XAUUSD_buy_win/30_56010917_XAUUSD_buy_M15_open_2026-07-29-172926.png" TargetMode="External" Id="rId139" /><Relationship Type="http://schemas.openxmlformats.org/officeDocument/2006/relationships/hyperlink" Target="../Charts/3214929/XAUUSD/2026-07-29_56010917_XAUUSD_buy_win/40_56010917_XAUUSD_buy_M5_close_2026-07-29-174348.png" TargetMode="External" Id="rId140" /><Relationship Type="http://schemas.openxmlformats.org/officeDocument/2006/relationships/hyperlink" Target="../Charts/3214929/XAUUSD/2026-07-29_56010917_XAUUSD_buy_win/40_56010917_XAUUSD_buy_M5_open_2026-07-29-172926.png" TargetMode="External" Id="rId141" /><Relationship Type="http://schemas.openxmlformats.org/officeDocument/2006/relationships/hyperlink" Target="../Charts/3214929/XAUUSD/2026-07-29_56010917_XAUUSD_buy_win/50_56010917_XAUUSD_buy_M1_close_2026-07-29-174348.png" TargetMode="External" Id="rId142" /><Relationship Type="http://schemas.openxmlformats.org/officeDocument/2006/relationships/hyperlink" Target="../Charts/3214929/XAUUSD/2026-07-29_56010917_XAUUSD_buy_win/50_56010917_XAUUSD_buy_M1_journey_2026-07-29-172926.png" TargetMode="External" Id="rId143" /><Relationship Type="http://schemas.openxmlformats.org/officeDocument/2006/relationships/hyperlink" Target="../Charts/3214929/XAUUSD/2026-07-29_56010917_XAUUSD_buy_win/50_56010917_XAUUSD_buy_M1_open_2026-07-29-172926.png" TargetMode="External" Id="rId144" /><Relationship Type="http://schemas.openxmlformats.org/officeDocument/2006/relationships/hyperlink" Target="../Charts/3214929/XAUUSD/2026-07-29_55998022_XAUUSD_buy_win/10_55998022_XAUUSD_buy_H4_close_2026-07-29-180005.png" TargetMode="External" Id="rId145" /><Relationship Type="http://schemas.openxmlformats.org/officeDocument/2006/relationships/hyperlink" Target="../Charts/3214929/XAUUSD/2026-07-29_55998022_XAUUSD_buy_win/20_55998022_XAUUSD_buy_H1_close_2026-07-29-180005.png" TargetMode="External" Id="rId146" /><Relationship Type="http://schemas.openxmlformats.org/officeDocument/2006/relationships/hyperlink" Target="../Charts/3214929/XAUUSD/2026-07-29_55998022_XAUUSD_buy_win/30_55998022_XAUUSD_buy_M15_close_2026-07-29-180005.png" TargetMode="External" Id="rId147" /><Relationship Type="http://schemas.openxmlformats.org/officeDocument/2006/relationships/hyperlink" Target="../Charts/3214929/XAUUSD/2026-07-29_55998022_XAUUSD_buy_win/30_55998022_XAUUSD_buy_M15_open_2026-07-29-165812.png" TargetMode="External" Id="rId148" /><Relationship Type="http://schemas.openxmlformats.org/officeDocument/2006/relationships/hyperlink" Target="../Charts/3214929/XAUUSD/2026-07-29_55998022_XAUUSD_buy_win/40_55998022_XAUUSD_buy_M5_close_2026-07-29-180005.png" TargetMode="External" Id="rId149" /><Relationship Type="http://schemas.openxmlformats.org/officeDocument/2006/relationships/hyperlink" Target="../Charts/3214929/XAUUSD/2026-07-29_55998022_XAUUSD_buy_win/40_55998022_XAUUSD_buy_M5_open_2026-07-29-165812.png" TargetMode="External" Id="rId150" /><Relationship Type="http://schemas.openxmlformats.org/officeDocument/2006/relationships/hyperlink" Target="../Charts/3214929/XAUUSD/2026-07-29_55998022_XAUUSD_buy_win/50_55998022_XAUUSD_buy_M1_close_2026-07-29-180005.png" TargetMode="External" Id="rId151" /><Relationship Type="http://schemas.openxmlformats.org/officeDocument/2006/relationships/hyperlink" Target="../Charts/3214929/XAUUSD/2026-07-29_55998022_XAUUSD_buy_win/50_55998022_XAUUSD_buy_M1_journey_2026-07-29-165812.png" TargetMode="External" Id="rId152" /><Relationship Type="http://schemas.openxmlformats.org/officeDocument/2006/relationships/hyperlink" Target="../Charts/3214929/XAUUSD/2026-07-29_55998022_XAUUSD_buy_win/50_55998022_XAUUSD_buy_M1_open_2026-07-29-165812.png" TargetMode="External" Id="rId153" /><Relationship Type="http://schemas.openxmlformats.org/officeDocument/2006/relationships/hyperlink" Target="../Charts/3214929/DAXEUR/2026-07-29_56034556_DAXEUR_buy_loss/10_56034556_DAXEUR_buy_H4_close_2026-07-29-182037.png" TargetMode="External" Id="rId154" /><Relationship Type="http://schemas.openxmlformats.org/officeDocument/2006/relationships/hyperlink" Target="../Charts/3214929/DAXEUR/2026-07-29_56034556_DAXEUR_buy_loss/20_56034556_DAXEUR_buy_H1_close_2026-07-29-182037.png" TargetMode="External" Id="rId155" /><Relationship Type="http://schemas.openxmlformats.org/officeDocument/2006/relationships/hyperlink" Target="../Charts/3214929/DAXEUR/2026-07-29_56034556_DAXEUR_buy_loss/30_56034556_DAXEUR_buy_M15_close_2026-07-29-182037.png" TargetMode="External" Id="rId156" /><Relationship Type="http://schemas.openxmlformats.org/officeDocument/2006/relationships/hyperlink" Target="../Charts/3214929/DAXEUR/2026-07-29_56034556_DAXEUR_buy_loss/30_56034556_DAXEUR_buy_M15_open_2026-07-29-182008.png" TargetMode="External" Id="rId157" /><Relationship Type="http://schemas.openxmlformats.org/officeDocument/2006/relationships/hyperlink" Target="../Charts/3214929/DAXEUR/2026-07-29_56034556_DAXEUR_buy_loss/40_56034556_DAXEUR_buy_M5_close_2026-07-29-182037.png" TargetMode="External" Id="rId158" /><Relationship Type="http://schemas.openxmlformats.org/officeDocument/2006/relationships/hyperlink" Target="../Charts/3214929/DAXEUR/2026-07-29_56034556_DAXEUR_buy_loss/40_56034556_DAXEUR_buy_M5_open_2026-07-29-182008.png" TargetMode="External" Id="rId159" /><Relationship Type="http://schemas.openxmlformats.org/officeDocument/2006/relationships/hyperlink" Target="../Charts/3214929/DAXEUR/2026-07-29_56034556_DAXEUR_buy_loss/50_56034556_DAXEUR_buy_M1_close_2026-07-29-182037.png" TargetMode="External" Id="rId160" /><Relationship Type="http://schemas.openxmlformats.org/officeDocument/2006/relationships/hyperlink" Target="../Charts/3214929/DAXEUR/2026-07-29_56034556_DAXEUR_buy_loss/50_56034556_DAXEUR_buy_M1_journey_2026-07-29-182008.png" TargetMode="External" Id="rId161" /><Relationship Type="http://schemas.openxmlformats.org/officeDocument/2006/relationships/hyperlink" Target="../Charts/3214929/DAXEUR/2026-07-29_56034556_DAXEUR_buy_loss/50_56034556_DAXEUR_buy_M1_open_2026-07-29-182008.png" TargetMode="External" Id="rId162" /><Relationship Type="http://schemas.openxmlformats.org/officeDocument/2006/relationships/hyperlink" Target="../Charts/3214929/DAXEUR/2026-07-29_56035232_DAXEUR_buy_loss/10_56035232_DAXEUR_buy_H4_close_2026-07-29-183211.png" TargetMode="External" Id="rId163" /><Relationship Type="http://schemas.openxmlformats.org/officeDocument/2006/relationships/hyperlink" Target="../Charts/3214929/DAXEUR/2026-07-29_56035232_DAXEUR_buy_loss/20_56035232_DAXEUR_buy_H1_close_2026-07-29-183211.png" TargetMode="External" Id="rId164" /><Relationship Type="http://schemas.openxmlformats.org/officeDocument/2006/relationships/hyperlink" Target="../Charts/3214929/DAXEUR/2026-07-29_56035232_DAXEUR_buy_loss/30_56035232_DAXEUR_buy_M15_close_2026-07-29-183211.png" TargetMode="External" Id="rId165" /><Relationship Type="http://schemas.openxmlformats.org/officeDocument/2006/relationships/hyperlink" Target="../Charts/3214929/DAXEUR/2026-07-29_56035232_DAXEUR_buy_loss/30_56035232_DAXEUR_buy_M15_open_2026-07-29-182142.png" TargetMode="External" Id="rId166" /><Relationship Type="http://schemas.openxmlformats.org/officeDocument/2006/relationships/hyperlink" Target="../Charts/3214929/DAXEUR/2026-07-29_56035232_DAXEUR_buy_loss/40_56035232_DAXEUR_buy_M5_close_2026-07-29-183211.png" TargetMode="External" Id="rId167" /><Relationship Type="http://schemas.openxmlformats.org/officeDocument/2006/relationships/hyperlink" Target="../Charts/3214929/DAXEUR/2026-07-29_56035232_DAXEUR_buy_loss/40_56035232_DAXEUR_buy_M5_open_2026-07-29-182142.png" TargetMode="External" Id="rId168" /><Relationship Type="http://schemas.openxmlformats.org/officeDocument/2006/relationships/hyperlink" Target="../Charts/3214929/DAXEUR/2026-07-29_56035232_DAXEUR_buy_loss/50_56035232_DAXEUR_buy_M1_close_2026-07-29-183211.png" TargetMode="External" Id="rId169" /><Relationship Type="http://schemas.openxmlformats.org/officeDocument/2006/relationships/hyperlink" Target="../Charts/3214929/DAXEUR/2026-07-29_56035232_DAXEUR_buy_loss/50_56035232_DAXEUR_buy_M1_journey_2026-07-29-182142.png" TargetMode="External" Id="rId170" /><Relationship Type="http://schemas.openxmlformats.org/officeDocument/2006/relationships/hyperlink" Target="../Charts/3214929/DAXEUR/2026-07-29_56035232_DAXEUR_buy_loss/50_56035232_DAXEUR_buy_M1_open_2026-07-29-182142.png" TargetMode="External" Id="rId171" /><Relationship Type="http://schemas.openxmlformats.org/officeDocument/2006/relationships/hyperlink" Target="../Charts/3214929/DAXEUR/2026-07-29_56032851_DAXEUR_buy_loss/10_56032851_DAXEUR_buy_H4_close_2026-07-29-183211.png" TargetMode="External" Id="rId172" /><Relationship Type="http://schemas.openxmlformats.org/officeDocument/2006/relationships/hyperlink" Target="../Charts/3214929/DAXEUR/2026-07-29_56032851_DAXEUR_buy_loss/20_56032851_DAXEUR_buy_H1_close_2026-07-29-183211.png" TargetMode="External" Id="rId173" /><Relationship Type="http://schemas.openxmlformats.org/officeDocument/2006/relationships/hyperlink" Target="../Charts/3214929/DAXEUR/2026-07-29_56032851_DAXEUR_buy_loss/30_56032851_DAXEUR_buy_M15_close_2026-07-29-183211.png" TargetMode="External" Id="rId174" /><Relationship Type="http://schemas.openxmlformats.org/officeDocument/2006/relationships/hyperlink" Target="../Charts/3214929/DAXEUR/2026-07-29_56032851_DAXEUR_buy_loss/30_56032851_DAXEUR_buy_M15_open_2026-07-29-181601.png" TargetMode="External" Id="rId175" /><Relationship Type="http://schemas.openxmlformats.org/officeDocument/2006/relationships/hyperlink" Target="../Charts/3214929/DAXEUR/2026-07-29_56032851_DAXEUR_buy_loss/40_56032851_DAXEUR_buy_M5_close_2026-07-29-183211.png" TargetMode="External" Id="rId176" /><Relationship Type="http://schemas.openxmlformats.org/officeDocument/2006/relationships/hyperlink" Target="../Charts/3214929/DAXEUR/2026-07-29_56032851_DAXEUR_buy_loss/40_56032851_DAXEUR_buy_M5_open_2026-07-29-181601.png" TargetMode="External" Id="rId177" /><Relationship Type="http://schemas.openxmlformats.org/officeDocument/2006/relationships/hyperlink" Target="../Charts/3214929/DAXEUR/2026-07-29_56032851_DAXEUR_buy_loss/50_56032851_DAXEUR_buy_M1_close_2026-07-29-183211.png" TargetMode="External" Id="rId178" /><Relationship Type="http://schemas.openxmlformats.org/officeDocument/2006/relationships/hyperlink" Target="../Charts/3214929/DAXEUR/2026-07-29_56032851_DAXEUR_buy_loss/50_56032851_DAXEUR_buy_M1_journey_2026-07-29-181601.png" TargetMode="External" Id="rId179" /><Relationship Type="http://schemas.openxmlformats.org/officeDocument/2006/relationships/hyperlink" Target="../Charts/3214929/DAXEUR/2026-07-29_56032851_DAXEUR_buy_loss/50_56032851_DAXEUR_buy_M1_open_2026-07-29-181601.png" TargetMode="External" Id="rId180" /><Relationship Type="http://schemas.openxmlformats.org/officeDocument/2006/relationships/hyperlink" Target="../Charts/3214929/DAXEUR/2026-07-29_56040932_DAXEUR_buy_loss/10_56040932_DAXEUR_buy_H4_close_2026-07-29-183538.png" TargetMode="External" Id="rId181" /><Relationship Type="http://schemas.openxmlformats.org/officeDocument/2006/relationships/hyperlink" Target="../Charts/3214929/DAXEUR/2026-07-29_56040932_DAXEUR_buy_loss/20_56040932_DAXEUR_buy_H1_close_2026-07-29-183538.png" TargetMode="External" Id="rId182" /><Relationship Type="http://schemas.openxmlformats.org/officeDocument/2006/relationships/hyperlink" Target="../Charts/3214929/DAXEUR/2026-07-29_56040932_DAXEUR_buy_loss/30_56040932_DAXEUR_buy_M15_close_2026-07-29-183538.png" TargetMode="External" Id="rId183" /><Relationship Type="http://schemas.openxmlformats.org/officeDocument/2006/relationships/hyperlink" Target="../Charts/3214929/DAXEUR/2026-07-29_56040932_DAXEUR_buy_loss/30_56040932_DAXEUR_buy_M15_open_2026-07-29-183418.png" TargetMode="External" Id="rId184" /><Relationship Type="http://schemas.openxmlformats.org/officeDocument/2006/relationships/hyperlink" Target="../Charts/3214929/DAXEUR/2026-07-29_56040932_DAXEUR_buy_loss/40_56040932_DAXEUR_buy_M5_close_2026-07-29-183538.png" TargetMode="External" Id="rId185" /><Relationship Type="http://schemas.openxmlformats.org/officeDocument/2006/relationships/hyperlink" Target="../Charts/3214929/DAXEUR/2026-07-29_56040932_DAXEUR_buy_loss/40_56040932_DAXEUR_buy_M5_open_2026-07-29-183418.png" TargetMode="External" Id="rId186" /><Relationship Type="http://schemas.openxmlformats.org/officeDocument/2006/relationships/hyperlink" Target="../Charts/3214929/DAXEUR/2026-07-29_56040932_DAXEUR_buy_loss/50_56040932_DAXEUR_buy_M1_close_2026-07-29-183538.png" TargetMode="External" Id="rId187" /><Relationship Type="http://schemas.openxmlformats.org/officeDocument/2006/relationships/hyperlink" Target="../Charts/3214929/DAXEUR/2026-07-29_56040932_DAXEUR_buy_loss/50_56040932_DAXEUR_buy_M1_journey_2026-07-29-183418.png" TargetMode="External" Id="rId188" /><Relationship Type="http://schemas.openxmlformats.org/officeDocument/2006/relationships/hyperlink" Target="../Charts/3214929/DAXEUR/2026-07-29_56040932_DAXEUR_buy_loss/50_56040932_DAXEUR_buy_M1_open_2026-07-29-183418.png" TargetMode="External" Id="rId189" /><Relationship Type="http://schemas.openxmlformats.org/officeDocument/2006/relationships/hyperlink" Target="../Charts/3214929/XAUUSD/2026-07-29_56042302_XAUUSD_sell_loss/10_56042302_XAUUSD_sell_H4_close_2026-07-29-183947.png" TargetMode="External" Id="rId190" /><Relationship Type="http://schemas.openxmlformats.org/officeDocument/2006/relationships/hyperlink" Target="../Charts/3214929/XAUUSD/2026-07-29_56042302_XAUUSD_sell_loss/20_56042302_XAUUSD_sell_H1_close_2026-07-29-183947.png" TargetMode="External" Id="rId191" /><Relationship Type="http://schemas.openxmlformats.org/officeDocument/2006/relationships/hyperlink" Target="../Charts/3214929/XAUUSD/2026-07-29_56042302_XAUUSD_sell_loss/30_56042302_XAUUSD_sell_M15_close_2026-07-29-183947.png" TargetMode="External" Id="rId192" /><Relationship Type="http://schemas.openxmlformats.org/officeDocument/2006/relationships/hyperlink" Target="../Charts/3214929/XAUUSD/2026-07-29_56042302_XAUUSD_sell_loss/30_56042302_XAUUSD_sell_M15_open_2026-07-29-183810.png" TargetMode="External" Id="rId193" /><Relationship Type="http://schemas.openxmlformats.org/officeDocument/2006/relationships/hyperlink" Target="../Charts/3214929/XAUUSD/2026-07-29_56042302_XAUUSD_sell_loss/40_56042302_XAUUSD_sell_M5_close_2026-07-29-183947.png" TargetMode="External" Id="rId194" /><Relationship Type="http://schemas.openxmlformats.org/officeDocument/2006/relationships/hyperlink" Target="../Charts/3214929/XAUUSD/2026-07-29_56042302_XAUUSD_sell_loss/40_56042302_XAUUSD_sell_M5_open_2026-07-29-183810.png" TargetMode="External" Id="rId195" /><Relationship Type="http://schemas.openxmlformats.org/officeDocument/2006/relationships/hyperlink" Target="../Charts/3214929/XAUUSD/2026-07-29_56042302_XAUUSD_sell_loss/50_56042302_XAUUSD_sell_M1_close_2026-07-29-183947.png" TargetMode="External" Id="rId196" /><Relationship Type="http://schemas.openxmlformats.org/officeDocument/2006/relationships/hyperlink" Target="../Charts/3214929/XAUUSD/2026-07-29_56042302_XAUUSD_sell_loss/50_56042302_XAUUSD_sell_M1_journey_2026-07-29-183810.png" TargetMode="External" Id="rId197" /><Relationship Type="http://schemas.openxmlformats.org/officeDocument/2006/relationships/hyperlink" Target="../Charts/3214929/XAUUSD/2026-07-29_56042302_XAUUSD_sell_loss/50_56042302_XAUUSD_sell_M1_open_2026-07-29-183810.png" TargetMode="External" Id="rId198" /><Relationship Type="http://schemas.openxmlformats.org/officeDocument/2006/relationships/hyperlink" Target="../Charts/3214929/DAXEUR/2026-07-29_56043357_DAXEUR_buy_win/10_56043357_DAXEUR_buy_H4_close_2026-07-29-184801.png" TargetMode="External" Id="rId199" /><Relationship Type="http://schemas.openxmlformats.org/officeDocument/2006/relationships/hyperlink" Target="../Charts/3214929/DAXEUR/2026-07-29_56043357_DAXEUR_buy_win/20_56043357_DAXEUR_buy_H1_close_2026-07-29-184801.png" TargetMode="External" Id="rId200" /><Relationship Type="http://schemas.openxmlformats.org/officeDocument/2006/relationships/hyperlink" Target="../Charts/3214929/DAXEUR/2026-07-29_56043357_DAXEUR_buy_win/30_56043357_DAXEUR_buy_M15_close_2026-07-29-184801.png" TargetMode="External" Id="rId201" /><Relationship Type="http://schemas.openxmlformats.org/officeDocument/2006/relationships/hyperlink" Target="../Charts/3214929/DAXEUR/2026-07-29_56043357_DAXEUR_buy_win/30_56043357_DAXEUR_buy_M15_open_2026-07-29-184012.png" TargetMode="External" Id="rId202" /><Relationship Type="http://schemas.openxmlformats.org/officeDocument/2006/relationships/hyperlink" Target="../Charts/3214929/DAXEUR/2026-07-29_56043357_DAXEUR_buy_win/40_56043357_DAXEUR_buy_M5_close_2026-07-29-184801.png" TargetMode="External" Id="rId203" /><Relationship Type="http://schemas.openxmlformats.org/officeDocument/2006/relationships/hyperlink" Target="../Charts/3214929/DAXEUR/2026-07-29_56043357_DAXEUR_buy_win/40_56043357_DAXEUR_buy_M5_open_2026-07-29-184012.png" TargetMode="External" Id="rId204" /><Relationship Type="http://schemas.openxmlformats.org/officeDocument/2006/relationships/hyperlink" Target="../Charts/3214929/DAXEUR/2026-07-29_56043357_DAXEUR_buy_win/50_56043357_DAXEUR_buy_M1_close_2026-07-29-184801.png" TargetMode="External" Id="rId205" /><Relationship Type="http://schemas.openxmlformats.org/officeDocument/2006/relationships/hyperlink" Target="../Charts/3214929/DAXEUR/2026-07-29_56043357_DAXEUR_buy_win/50_56043357_DAXEUR_buy_M1_journey_2026-07-29-184012.png" TargetMode="External" Id="rId206" /><Relationship Type="http://schemas.openxmlformats.org/officeDocument/2006/relationships/hyperlink" Target="../Charts/3214929/DAXEUR/2026-07-29_56043357_DAXEUR_buy_win/50_56043357_DAXEUR_buy_M1_open_2026-07-29-184012.png" TargetMode="External" Id="rId207" /><Relationship Type="http://schemas.openxmlformats.org/officeDocument/2006/relationships/hyperlink" Target="../Charts/3214929/DAXEUR/2026-07-29_56045244_DAXEUR_buy_loss/10_56045244_DAXEUR_buy_H4_close_2026-07-29-184845.png" TargetMode="External" Id="rId208" /><Relationship Type="http://schemas.openxmlformats.org/officeDocument/2006/relationships/hyperlink" Target="../Charts/3214929/DAXEUR/2026-07-29_56045244_DAXEUR_buy_loss/20_56045244_DAXEUR_buy_H1_close_2026-07-29-184845.png" TargetMode="External" Id="rId209" /><Relationship Type="http://schemas.openxmlformats.org/officeDocument/2006/relationships/hyperlink" Target="../Charts/3214929/DAXEUR/2026-07-29_56045244_DAXEUR_buy_loss/30_56045244_DAXEUR_buy_M15_close_2026-07-29-184845.png" TargetMode="External" Id="rId210" /><Relationship Type="http://schemas.openxmlformats.org/officeDocument/2006/relationships/hyperlink" Target="../Charts/3214929/DAXEUR/2026-07-29_56045244_DAXEUR_buy_loss/30_56045244_DAXEUR_buy_M15_open_2026-07-29-184350.png" TargetMode="External" Id="rId211" /><Relationship Type="http://schemas.openxmlformats.org/officeDocument/2006/relationships/hyperlink" Target="../Charts/3214929/DAXEUR/2026-07-29_56045244_DAXEUR_buy_loss/40_56045244_DAXEUR_buy_M5_close_2026-07-29-184845.png" TargetMode="External" Id="rId212" /><Relationship Type="http://schemas.openxmlformats.org/officeDocument/2006/relationships/hyperlink" Target="../Charts/3214929/DAXEUR/2026-07-29_56045244_DAXEUR_buy_loss/40_56045244_DAXEUR_buy_M5_open_2026-07-29-184350.png" TargetMode="External" Id="rId213" /><Relationship Type="http://schemas.openxmlformats.org/officeDocument/2006/relationships/hyperlink" Target="../Charts/3214929/DAXEUR/2026-07-29_56045244_DAXEUR_buy_loss/50_56045244_DAXEUR_buy_M1_close_2026-07-29-184845.png" TargetMode="External" Id="rId214" /><Relationship Type="http://schemas.openxmlformats.org/officeDocument/2006/relationships/hyperlink" Target="../Charts/3214929/DAXEUR/2026-07-29_56045244_DAXEUR_buy_loss/50_56045244_DAXEUR_buy_M1_journey_2026-07-29-184350.png" TargetMode="External" Id="rId215" /><Relationship Type="http://schemas.openxmlformats.org/officeDocument/2006/relationships/hyperlink" Target="../Charts/3214929/DAXEUR/2026-07-29_56045244_DAXEUR_buy_loss/50_56045244_DAXEUR_buy_M1_open_2026-07-29-184350.png" TargetMode="External" Id="rId216" /><Relationship Type="http://schemas.openxmlformats.org/officeDocument/2006/relationships/hyperlink" Target="../Charts/3214929/NDXUSD/2026-07-29_56050134_NDXUSD_sell_win/10_56050134_NDXUSD_sell_H4_close_2026-07-29-190326.png" TargetMode="External" Id="rId217" /><Relationship Type="http://schemas.openxmlformats.org/officeDocument/2006/relationships/hyperlink" Target="../Charts/3214929/NDXUSD/2026-07-29_56050134_NDXUSD_sell_win/20_56050134_NDXUSD_sell_H1_close_2026-07-29-190326.png" TargetMode="External" Id="rId218" /><Relationship Type="http://schemas.openxmlformats.org/officeDocument/2006/relationships/hyperlink" Target="../Charts/3214929/NDXUSD/2026-07-29_56050134_NDXUSD_sell_win/30_56050134_NDXUSD_sell_M15_close_2026-07-29-190326.png" TargetMode="External" Id="rId219" /><Relationship Type="http://schemas.openxmlformats.org/officeDocument/2006/relationships/hyperlink" Target="../Charts/3214929/NDXUSD/2026-07-29_56050134_NDXUSD_sell_win/30_56050134_NDXUSD_sell_M15_open_2026-07-29-185307.png" TargetMode="External" Id="rId220" /><Relationship Type="http://schemas.openxmlformats.org/officeDocument/2006/relationships/hyperlink" Target="../Charts/3214929/NDXUSD/2026-07-29_56050134_NDXUSD_sell_win/40_56050134_NDXUSD_sell_M5_close_2026-07-29-190326.png" TargetMode="External" Id="rId221" /><Relationship Type="http://schemas.openxmlformats.org/officeDocument/2006/relationships/hyperlink" Target="../Charts/3214929/NDXUSD/2026-07-29_56050134_NDXUSD_sell_win/40_56050134_NDXUSD_sell_M5_open_2026-07-29-185307.png" TargetMode="External" Id="rId222" /><Relationship Type="http://schemas.openxmlformats.org/officeDocument/2006/relationships/hyperlink" Target="../Charts/3214929/NDXUSD/2026-07-29_56050134_NDXUSD_sell_win/50_56050134_NDXUSD_sell_M1_close_2026-07-29-190326.png" TargetMode="External" Id="rId223" /><Relationship Type="http://schemas.openxmlformats.org/officeDocument/2006/relationships/hyperlink" Target="../Charts/3214929/NDXUSD/2026-07-29_56050134_NDXUSD_sell_win/50_56050134_NDXUSD_sell_M1_journey_2026-07-29-185307.png" TargetMode="External" Id="rId224" /><Relationship Type="http://schemas.openxmlformats.org/officeDocument/2006/relationships/hyperlink" Target="../Charts/3214929/NDXUSD/2026-07-29_56050134_NDXUSD_sell_win/50_56050134_NDXUSD_sell_M1_open_2026-07-29-185307.png" TargetMode="External" Id="rId225" /><Relationship Type="http://schemas.openxmlformats.org/officeDocument/2006/relationships/hyperlink" Target="../Charts/3214929/DAXEUR/2026-07-29_56052315_DAXEUR_sell_win/10_56052315_DAXEUR_sell_H4_close_2026-07-29-190703.png" TargetMode="External" Id="rId226" /><Relationship Type="http://schemas.openxmlformats.org/officeDocument/2006/relationships/hyperlink" Target="../Charts/3214929/DAXEUR/2026-07-29_56052315_DAXEUR_sell_win/20_56052315_DAXEUR_sell_H1_close_2026-07-29-190703.png" TargetMode="External" Id="rId227" /><Relationship Type="http://schemas.openxmlformats.org/officeDocument/2006/relationships/hyperlink" Target="../Charts/3214929/DAXEUR/2026-07-29_56052315_DAXEUR_sell_win/30_56052315_DAXEUR_sell_M15_close_2026-07-29-190703.png" TargetMode="External" Id="rId228" /><Relationship Type="http://schemas.openxmlformats.org/officeDocument/2006/relationships/hyperlink" Target="../Charts/3214929/DAXEUR/2026-07-29_56052315_DAXEUR_sell_win/30_56052315_DAXEUR_sell_M15_open_2026-07-29-185819.png" TargetMode="External" Id="rId229" /><Relationship Type="http://schemas.openxmlformats.org/officeDocument/2006/relationships/hyperlink" Target="../Charts/3214929/DAXEUR/2026-07-29_56052315_DAXEUR_sell_win/40_56052315_DAXEUR_sell_M5_close_2026-07-29-190703.png" TargetMode="External" Id="rId230" /><Relationship Type="http://schemas.openxmlformats.org/officeDocument/2006/relationships/hyperlink" Target="../Charts/3214929/DAXEUR/2026-07-29_56052315_DAXEUR_sell_win/40_56052315_DAXEUR_sell_M5_open_2026-07-29-185819.png" TargetMode="External" Id="rId231" /><Relationship Type="http://schemas.openxmlformats.org/officeDocument/2006/relationships/hyperlink" Target="../Charts/3214929/DAXEUR/2026-07-29_56052315_DAXEUR_sell_win/50_56052315_DAXEUR_sell_M1_close_2026-07-29-190703.png" TargetMode="External" Id="rId232" /><Relationship Type="http://schemas.openxmlformats.org/officeDocument/2006/relationships/hyperlink" Target="../Charts/3214929/DAXEUR/2026-07-29_56052315_DAXEUR_sell_win/50_56052315_DAXEUR_sell_M1_journey_2026-07-29-185819.png" TargetMode="External" Id="rId233" /><Relationship Type="http://schemas.openxmlformats.org/officeDocument/2006/relationships/hyperlink" Target="../Charts/3214929/DAXEUR/2026-07-29_56052315_DAXEUR_sell_win/50_56052315_DAXEUR_sell_M1_open_2026-07-29-185819.png" TargetMode="External" Id="rId234" /><Relationship Type="http://schemas.openxmlformats.org/officeDocument/2006/relationships/hyperlink" Target="../Charts/3214929/NDXUSD/2026-07-29_56054122_NDXUSD_sell_win/10_56054122_NDXUSD_sell_H4_close_2026-07-29-192048.png" TargetMode="External" Id="rId235" /><Relationship Type="http://schemas.openxmlformats.org/officeDocument/2006/relationships/hyperlink" Target="../Charts/3214929/NDXUSD/2026-07-29_56054122_NDXUSD_sell_win/20_56054122_NDXUSD_sell_H1_close_2026-07-29-192048.png" TargetMode="External" Id="rId236" /><Relationship Type="http://schemas.openxmlformats.org/officeDocument/2006/relationships/hyperlink" Target="../Charts/3214929/NDXUSD/2026-07-29_56054122_NDXUSD_sell_win/30_56054122_NDXUSD_sell_M15_close_2026-07-29-192048.png" TargetMode="External" Id="rId237" /><Relationship Type="http://schemas.openxmlformats.org/officeDocument/2006/relationships/hyperlink" Target="../Charts/3214929/NDXUSD/2026-07-29_56054122_NDXUSD_sell_win/30_56054122_NDXUSD_sell_M15_open_2026-07-29-190221.png" TargetMode="External" Id="rId238" /><Relationship Type="http://schemas.openxmlformats.org/officeDocument/2006/relationships/hyperlink" Target="../Charts/3214929/NDXUSD/2026-07-29_56054122_NDXUSD_sell_win/40_56054122_NDXUSD_sell_M5_close_2026-07-29-192048.png" TargetMode="External" Id="rId239" /><Relationship Type="http://schemas.openxmlformats.org/officeDocument/2006/relationships/hyperlink" Target="../Charts/3214929/NDXUSD/2026-07-29_56054122_NDXUSD_sell_win/40_56054122_NDXUSD_sell_M5_open_2026-07-29-190221.png" TargetMode="External" Id="rId240" /><Relationship Type="http://schemas.openxmlformats.org/officeDocument/2006/relationships/hyperlink" Target="../Charts/3214929/NDXUSD/2026-07-29_56054122_NDXUSD_sell_win/50_56054122_NDXUSD_sell_M1_close_2026-07-29-192048.png" TargetMode="External" Id="rId241" /><Relationship Type="http://schemas.openxmlformats.org/officeDocument/2006/relationships/hyperlink" Target="../Charts/3214929/NDXUSD/2026-07-29_56054122_NDXUSD_sell_win/50_56054122_NDXUSD_sell_M1_journey_2026-07-29-190221.png" TargetMode="External" Id="rId242" /><Relationship Type="http://schemas.openxmlformats.org/officeDocument/2006/relationships/hyperlink" Target="../Charts/3214929/NDXUSD/2026-07-29_56054122_NDXUSD_sell_win/50_56054122_NDXUSD_sell_M1_open_2026-07-29-190221.png" TargetMode="External" Id="rId243" /><Relationship Type="http://schemas.openxmlformats.org/officeDocument/2006/relationships/hyperlink" Target="../Charts/3214929/NDXUSD/2026-07-29_56063306_NDXUSD_buy_loss/10_56063306_NDXUSD_buy_H4_close_2026-07-29-193313.png" TargetMode="External" Id="rId244" /><Relationship Type="http://schemas.openxmlformats.org/officeDocument/2006/relationships/hyperlink" Target="../Charts/3214929/NDXUSD/2026-07-29_56063306_NDXUSD_buy_loss/20_56063306_NDXUSD_buy_H1_close_2026-07-29-193313.png" TargetMode="External" Id="rId245" /><Relationship Type="http://schemas.openxmlformats.org/officeDocument/2006/relationships/hyperlink" Target="../Charts/3214929/NDXUSD/2026-07-29_56063306_NDXUSD_buy_loss/30_56063306_NDXUSD_buy_M15_close_2026-07-29-193313.png" TargetMode="External" Id="rId246" /><Relationship Type="http://schemas.openxmlformats.org/officeDocument/2006/relationships/hyperlink" Target="../Charts/3214929/NDXUSD/2026-07-29_56063306_NDXUSD_buy_loss/30_56063306_NDXUSD_buy_M15_open_2026-07-29-193010.png" TargetMode="External" Id="rId247" /><Relationship Type="http://schemas.openxmlformats.org/officeDocument/2006/relationships/hyperlink" Target="../Charts/3214929/NDXUSD/2026-07-29_56063306_NDXUSD_buy_loss/40_56063306_NDXUSD_buy_M5_close_2026-07-29-193313.png" TargetMode="External" Id="rId248" /><Relationship Type="http://schemas.openxmlformats.org/officeDocument/2006/relationships/hyperlink" Target="../Charts/3214929/NDXUSD/2026-07-29_56063306_NDXUSD_buy_loss/40_56063306_NDXUSD_buy_M5_open_2026-07-29-193010.png" TargetMode="External" Id="rId249" /><Relationship Type="http://schemas.openxmlformats.org/officeDocument/2006/relationships/hyperlink" Target="../Charts/3214929/NDXUSD/2026-07-29_56063306_NDXUSD_buy_loss/50_56063306_NDXUSD_buy_M1_close_2026-07-29-193313.png" TargetMode="External" Id="rId250" /><Relationship Type="http://schemas.openxmlformats.org/officeDocument/2006/relationships/hyperlink" Target="../Charts/3214929/NDXUSD/2026-07-29_56063306_NDXUSD_buy_loss/50_56063306_NDXUSD_buy_M1_journey_2026-07-29-193010.png" TargetMode="External" Id="rId251" /><Relationship Type="http://schemas.openxmlformats.org/officeDocument/2006/relationships/hyperlink" Target="../Charts/3214929/NDXUSD/2026-07-29_56063306_NDXUSD_buy_loss/50_56063306_NDXUSD_buy_M1_open_2026-07-29-193010.png" TargetMode="External" Id="rId252" /><Relationship Type="http://schemas.openxmlformats.org/officeDocument/2006/relationships/hyperlink" Target="../Charts/3214929/NDXUSD/2026-07-29_56066262_NDXUSD_sell_win/10_56066262_NDXUSD_sell_H4_close_2026-07-29-194008.png" TargetMode="External" Id="rId253" /><Relationship Type="http://schemas.openxmlformats.org/officeDocument/2006/relationships/hyperlink" Target="../Charts/3214929/NDXUSD/2026-07-29_56066262_NDXUSD_sell_win/20_56066262_NDXUSD_sell_H1_close_2026-07-29-194008.png" TargetMode="External" Id="rId254" /><Relationship Type="http://schemas.openxmlformats.org/officeDocument/2006/relationships/hyperlink" Target="../Charts/3214929/NDXUSD/2026-07-29_56066262_NDXUSD_sell_win/30_56066262_NDXUSD_sell_M15_close_2026-07-29-194008.png" TargetMode="External" Id="rId255" /><Relationship Type="http://schemas.openxmlformats.org/officeDocument/2006/relationships/hyperlink" Target="../Charts/3214929/NDXUSD/2026-07-29_56066262_NDXUSD_sell_win/30_56066262_NDXUSD_sell_M15_open_2026-07-29-193803.png" TargetMode="External" Id="rId256" /><Relationship Type="http://schemas.openxmlformats.org/officeDocument/2006/relationships/hyperlink" Target="../Charts/3214929/NDXUSD/2026-07-29_56066262_NDXUSD_sell_win/40_56066262_NDXUSD_sell_M5_close_2026-07-29-194008.png" TargetMode="External" Id="rId257" /><Relationship Type="http://schemas.openxmlformats.org/officeDocument/2006/relationships/hyperlink" Target="../Charts/3214929/NDXUSD/2026-07-29_56066262_NDXUSD_sell_win/40_56066262_NDXUSD_sell_M5_open_2026-07-29-193803.png" TargetMode="External" Id="rId258" /><Relationship Type="http://schemas.openxmlformats.org/officeDocument/2006/relationships/hyperlink" Target="../Charts/3214929/NDXUSD/2026-07-29_56066262_NDXUSD_sell_win/50_56066262_NDXUSD_sell_M1_close_2026-07-29-194008.png" TargetMode="External" Id="rId259" /><Relationship Type="http://schemas.openxmlformats.org/officeDocument/2006/relationships/hyperlink" Target="../Charts/3214929/NDXUSD/2026-07-29_56066262_NDXUSD_sell_win/50_56066262_NDXUSD_sell_M1_journey_2026-07-29-193803.png" TargetMode="External" Id="rId260" /><Relationship Type="http://schemas.openxmlformats.org/officeDocument/2006/relationships/hyperlink" Target="../Charts/3214929/NDXUSD/2026-07-29_56066262_NDXUSD_sell_win/50_56066262_NDXUSD_sell_M1_open_2026-07-29-193803.png" TargetMode="External" Id="rId261" /><Relationship Type="http://schemas.openxmlformats.org/officeDocument/2006/relationships/hyperlink" Target="../Charts/3214929/NDXUSD/2026-07-29_56068541_NDXUSD_buy_loss/10_56068541_NDXUSD_buy_H4_close_2026-07-29-195503.png" TargetMode="External" Id="rId262" /><Relationship Type="http://schemas.openxmlformats.org/officeDocument/2006/relationships/hyperlink" Target="../Charts/3214929/NDXUSD/2026-07-29_56068541_NDXUSD_buy_loss/20_56068541_NDXUSD_buy_H1_close_2026-07-29-195503.png" TargetMode="External" Id="rId263" /><Relationship Type="http://schemas.openxmlformats.org/officeDocument/2006/relationships/hyperlink" Target="../Charts/3214929/NDXUSD/2026-07-29_56068541_NDXUSD_buy_loss/30_56068541_NDXUSD_buy_M15_close_2026-07-29-195503.png" TargetMode="External" Id="rId264" /><Relationship Type="http://schemas.openxmlformats.org/officeDocument/2006/relationships/hyperlink" Target="../Charts/3214929/NDXUSD/2026-07-29_56068541_NDXUSD_buy_loss/30_56068541_NDXUSD_buy_M15_open_2026-07-29-194749.png" TargetMode="External" Id="rId265" /><Relationship Type="http://schemas.openxmlformats.org/officeDocument/2006/relationships/hyperlink" Target="../Charts/3214929/NDXUSD/2026-07-29_56068541_NDXUSD_buy_loss/40_56068541_NDXUSD_buy_M5_close_2026-07-29-195503.png" TargetMode="External" Id="rId266" /><Relationship Type="http://schemas.openxmlformats.org/officeDocument/2006/relationships/hyperlink" Target="../Charts/3214929/NDXUSD/2026-07-29_56068541_NDXUSD_buy_loss/40_56068541_NDXUSD_buy_M5_open_2026-07-29-194749.png" TargetMode="External" Id="rId267" /><Relationship Type="http://schemas.openxmlformats.org/officeDocument/2006/relationships/hyperlink" Target="../Charts/3214929/NDXUSD/2026-07-29_56068541_NDXUSD_buy_loss/50_56068541_NDXUSD_buy_M1_close_2026-07-29-195503.png" TargetMode="External" Id="rId268" /><Relationship Type="http://schemas.openxmlformats.org/officeDocument/2006/relationships/hyperlink" Target="../Charts/3214929/NDXUSD/2026-07-29_56068541_NDXUSD_buy_loss/50_56068541_NDXUSD_buy_M1_journey_2026-07-29-194749.png" TargetMode="External" Id="rId269" /><Relationship Type="http://schemas.openxmlformats.org/officeDocument/2006/relationships/hyperlink" Target="../Charts/3214929/NDXUSD/2026-07-29_56068541_NDXUSD_buy_loss/50_56068541_NDXUSD_buy_M1_open_2026-07-29-194749.png" TargetMode="External" Id="rId270" /><Relationship Type="http://schemas.openxmlformats.org/officeDocument/2006/relationships/hyperlink" Target="../Charts/3214929/DJIUSD/2026-07-29_56072252_DJIUSD_buy_loss/10_56072252_DJIUSD_buy_H4_close_2026-07-29-200638.png" TargetMode="External" Id="rId271" /><Relationship Type="http://schemas.openxmlformats.org/officeDocument/2006/relationships/hyperlink" Target="../Charts/3214929/DJIUSD/2026-07-29_56072252_DJIUSD_buy_loss/20_56072252_DJIUSD_buy_H1_close_2026-07-29-200638.png" TargetMode="External" Id="rId272" /><Relationship Type="http://schemas.openxmlformats.org/officeDocument/2006/relationships/hyperlink" Target="../Charts/3214929/DJIUSD/2026-07-29_56072252_DJIUSD_buy_loss/30_56072252_DJIUSD_buy_M15_close_2026-07-29-200638.png" TargetMode="External" Id="rId273" /><Relationship Type="http://schemas.openxmlformats.org/officeDocument/2006/relationships/hyperlink" Target="../Charts/3214929/DJIUSD/2026-07-29_56072252_DJIUSD_buy_loss/30_56072252_DJIUSD_buy_M15_open_2026-07-29-200031.png" TargetMode="External" Id="rId274" /><Relationship Type="http://schemas.openxmlformats.org/officeDocument/2006/relationships/hyperlink" Target="../Charts/3214929/DJIUSD/2026-07-29_56072252_DJIUSD_buy_loss/40_56072252_DJIUSD_buy_M5_close_2026-07-29-200638.png" TargetMode="External" Id="rId275" /><Relationship Type="http://schemas.openxmlformats.org/officeDocument/2006/relationships/hyperlink" Target="../Charts/3214929/DJIUSD/2026-07-29_56072252_DJIUSD_buy_loss/40_56072252_DJIUSD_buy_M5_open_2026-07-29-200031.png" TargetMode="External" Id="rId276" /><Relationship Type="http://schemas.openxmlformats.org/officeDocument/2006/relationships/hyperlink" Target="../Charts/3214929/DJIUSD/2026-07-29_56072252_DJIUSD_buy_loss/50_56072252_DJIUSD_buy_M1_close_2026-07-29-200638.png" TargetMode="External" Id="rId277" /><Relationship Type="http://schemas.openxmlformats.org/officeDocument/2006/relationships/hyperlink" Target="../Charts/3214929/DJIUSD/2026-07-29_56072252_DJIUSD_buy_loss/50_56072252_DJIUSD_buy_M1_journey_2026-07-29-200031.png" TargetMode="External" Id="rId278" /><Relationship Type="http://schemas.openxmlformats.org/officeDocument/2006/relationships/hyperlink" Target="../Charts/3214929/DJIUSD/2026-07-29_56072252_DJIUSD_buy_loss/50_56072252_DJIUSD_buy_M1_open_2026-07-29-200031.png" TargetMode="External" Id="rId279" /><Relationship Type="http://schemas.openxmlformats.org/officeDocument/2006/relationships/hyperlink" Target="../Charts/3214929/NDXUSD/2026-07-29_56074196_NDXUSD_sell_loss/10_56074196_NDXUSD_sell_H4_close_2026-07-29-201306.png" TargetMode="External" Id="rId280" /><Relationship Type="http://schemas.openxmlformats.org/officeDocument/2006/relationships/hyperlink" Target="../Charts/3214929/NDXUSD/2026-07-29_56074196_NDXUSD_sell_loss/20_56074196_NDXUSD_sell_H1_close_2026-07-29-201306.png" TargetMode="External" Id="rId281" /><Relationship Type="http://schemas.openxmlformats.org/officeDocument/2006/relationships/hyperlink" Target="../Charts/3214929/NDXUSD/2026-07-29_56074196_NDXUSD_sell_loss/30_56074196_NDXUSD_sell_M15_close_2026-07-29-201306.png" TargetMode="External" Id="rId282" /><Relationship Type="http://schemas.openxmlformats.org/officeDocument/2006/relationships/hyperlink" Target="../Charts/3214929/NDXUSD/2026-07-29_56074196_NDXUSD_sell_loss/30_56074196_NDXUSD_sell_M15_open_2026-07-29-201004.png" TargetMode="External" Id="rId283" /><Relationship Type="http://schemas.openxmlformats.org/officeDocument/2006/relationships/hyperlink" Target="../Charts/3214929/NDXUSD/2026-07-29_56074196_NDXUSD_sell_loss/40_56074196_NDXUSD_sell_M5_close_2026-07-29-201306.png" TargetMode="External" Id="rId284" /><Relationship Type="http://schemas.openxmlformats.org/officeDocument/2006/relationships/hyperlink" Target="../Charts/3214929/NDXUSD/2026-07-29_56074196_NDXUSD_sell_loss/40_56074196_NDXUSD_sell_M5_open_2026-07-29-201004.png" TargetMode="External" Id="rId285" /><Relationship Type="http://schemas.openxmlformats.org/officeDocument/2006/relationships/hyperlink" Target="../Charts/3214929/NDXUSD/2026-07-29_56074196_NDXUSD_sell_loss/50_56074196_NDXUSD_sell_M1_close_2026-07-29-201306.png" TargetMode="External" Id="rId286" /><Relationship Type="http://schemas.openxmlformats.org/officeDocument/2006/relationships/hyperlink" Target="../Charts/3214929/NDXUSD/2026-07-29_56074196_NDXUSD_sell_loss/50_56074196_NDXUSD_sell_M1_journey_2026-07-29-201004.png" TargetMode="External" Id="rId287" /><Relationship Type="http://schemas.openxmlformats.org/officeDocument/2006/relationships/hyperlink" Target="../Charts/3214929/NDXUSD/2026-07-29_56074196_NDXUSD_sell_loss/50_56074196_NDXUSD_sell_M1_open_2026-07-29-201004.png" TargetMode="External" Id="rId288" /><Relationship Type="http://schemas.openxmlformats.org/officeDocument/2006/relationships/hyperlink" Target="../Charts/3214929/DJIUSD/2026-07-29_56075382_DJIUSD_buy_loss/10_56075382_DJIUSD_buy_H4_close_2026-07-29-202049.png" TargetMode="External" Id="rId289" /><Relationship Type="http://schemas.openxmlformats.org/officeDocument/2006/relationships/hyperlink" Target="../Charts/3214929/DJIUSD/2026-07-29_56075382_DJIUSD_buy_loss/20_56075382_DJIUSD_buy_H1_close_2026-07-29-202049.png" TargetMode="External" Id="rId290" /><Relationship Type="http://schemas.openxmlformats.org/officeDocument/2006/relationships/hyperlink" Target="../Charts/3214929/DJIUSD/2026-07-29_56075382_DJIUSD_buy_loss/30_56075382_DJIUSD_buy_M15_close_2026-07-29-202049.png" TargetMode="External" Id="rId291" /><Relationship Type="http://schemas.openxmlformats.org/officeDocument/2006/relationships/hyperlink" Target="../Charts/3214929/DJIUSD/2026-07-29_56075382_DJIUSD_buy_loss/30_56075382_DJIUSD_buy_M15_open_2026-07-29-201630.png" TargetMode="External" Id="rId292" /><Relationship Type="http://schemas.openxmlformats.org/officeDocument/2006/relationships/hyperlink" Target="../Charts/3214929/DJIUSD/2026-07-29_56075382_DJIUSD_buy_loss/40_56075382_DJIUSD_buy_M5_close_2026-07-29-202049.png" TargetMode="External" Id="rId293" /><Relationship Type="http://schemas.openxmlformats.org/officeDocument/2006/relationships/hyperlink" Target="../Charts/3214929/DJIUSD/2026-07-29_56075382_DJIUSD_buy_loss/40_56075382_DJIUSD_buy_M5_open_2026-07-29-201630.png" TargetMode="External" Id="rId294" /><Relationship Type="http://schemas.openxmlformats.org/officeDocument/2006/relationships/hyperlink" Target="../Charts/3214929/DJIUSD/2026-07-29_56075382_DJIUSD_buy_loss/50_56075382_DJIUSD_buy_M1_close_2026-07-29-202049.png" TargetMode="External" Id="rId295" /><Relationship Type="http://schemas.openxmlformats.org/officeDocument/2006/relationships/hyperlink" Target="../Charts/3214929/DJIUSD/2026-07-29_56075382_DJIUSD_buy_loss/50_56075382_DJIUSD_buy_M1_journey_2026-07-29-201630.png" TargetMode="External" Id="rId296" /><Relationship Type="http://schemas.openxmlformats.org/officeDocument/2006/relationships/hyperlink" Target="../Charts/3214929/DJIUSD/2026-07-29_56075382_DJIUSD_buy_loss/50_56075382_DJIUSD_buy_M1_open_2026-07-29-201630.png" TargetMode="External" Id="rId297" /><Relationship Type="http://schemas.openxmlformats.org/officeDocument/2006/relationships/hyperlink" Target="../Charts/3214929/DJIUSD/2026-07-29_56075287_DJIUSD_buy_win/10_56075287_DJIUSD_buy_H4_close_2026-07-29-202049.png" TargetMode="External" Id="rId298" /><Relationship Type="http://schemas.openxmlformats.org/officeDocument/2006/relationships/hyperlink" Target="../Charts/3214929/DJIUSD/2026-07-29_56075287_DJIUSD_buy_win/20_56075287_DJIUSD_buy_H1_close_2026-07-29-202049.png" TargetMode="External" Id="rId299" /><Relationship Type="http://schemas.openxmlformats.org/officeDocument/2006/relationships/hyperlink" Target="../Charts/3214929/DJIUSD/2026-07-29_56075287_DJIUSD_buy_win/30_56075287_DJIUSD_buy_M15_close_2026-07-29-202049.png" TargetMode="External" Id="rId300" /><Relationship Type="http://schemas.openxmlformats.org/officeDocument/2006/relationships/hyperlink" Target="../Charts/3214929/DJIUSD/2026-07-29_56075287_DJIUSD_buy_win/30_56075287_DJIUSD_buy_M15_open_2026-07-29-201535.png" TargetMode="External" Id="rId301" /><Relationship Type="http://schemas.openxmlformats.org/officeDocument/2006/relationships/hyperlink" Target="../Charts/3214929/DJIUSD/2026-07-29_56075287_DJIUSD_buy_win/40_56075287_DJIUSD_buy_M5_close_2026-07-29-202049.png" TargetMode="External" Id="rId302" /><Relationship Type="http://schemas.openxmlformats.org/officeDocument/2006/relationships/hyperlink" Target="../Charts/3214929/DJIUSD/2026-07-29_56075287_DJIUSD_buy_win/40_56075287_DJIUSD_buy_M5_open_2026-07-29-201535.png" TargetMode="External" Id="rId303" /><Relationship Type="http://schemas.openxmlformats.org/officeDocument/2006/relationships/hyperlink" Target="../Charts/3214929/DJIUSD/2026-07-29_56075287_DJIUSD_buy_win/50_56075287_DJIUSD_buy_M1_close_2026-07-29-202049.png" TargetMode="External" Id="rId304" /><Relationship Type="http://schemas.openxmlformats.org/officeDocument/2006/relationships/hyperlink" Target="../Charts/3214929/DJIUSD/2026-07-29_56075287_DJIUSD_buy_win/50_56075287_DJIUSD_buy_M1_journey_2026-07-29-201535.png" TargetMode="External" Id="rId305" /><Relationship Type="http://schemas.openxmlformats.org/officeDocument/2006/relationships/hyperlink" Target="../Charts/3214929/DJIUSD/2026-07-29_56075287_DJIUSD_buy_win/50_56075287_DJIUSD_buy_M1_open_2026-07-29-201535.png" TargetMode="External" Id="rId306" /><Relationship Type="http://schemas.openxmlformats.org/officeDocument/2006/relationships/hyperlink" Target="../Charts/3214929/DAXEUR/2026-07-29_56076347_DAXEUR_sell_loss/10_56076347_DAXEUR_sell_H4_close_2026-07-29-203509.png" TargetMode="External" Id="rId307" /><Relationship Type="http://schemas.openxmlformats.org/officeDocument/2006/relationships/hyperlink" Target="../Charts/3214929/DAXEUR/2026-07-29_56076347_DAXEUR_sell_loss/20_56076347_DAXEUR_sell_H1_close_2026-07-29-203509.png" TargetMode="External" Id="rId308" /><Relationship Type="http://schemas.openxmlformats.org/officeDocument/2006/relationships/hyperlink" Target="../Charts/3214929/DAXEUR/2026-07-29_56076347_DAXEUR_sell_loss/30_56076347_DAXEUR_sell_M15_close_2026-07-29-203509.png" TargetMode="External" Id="rId309" /><Relationship Type="http://schemas.openxmlformats.org/officeDocument/2006/relationships/hyperlink" Target="../Charts/3214929/DAXEUR/2026-07-29_56076347_DAXEUR_sell_loss/30_56076347_DAXEUR_sell_M15_open_2026-07-29-202510.png" TargetMode="External" Id="rId310" /><Relationship Type="http://schemas.openxmlformats.org/officeDocument/2006/relationships/hyperlink" Target="../Charts/3214929/DAXEUR/2026-07-29_56076347_DAXEUR_sell_loss/40_56076347_DAXEUR_sell_M5_close_2026-07-29-203509.png" TargetMode="External" Id="rId311" /><Relationship Type="http://schemas.openxmlformats.org/officeDocument/2006/relationships/hyperlink" Target="../Charts/3214929/DAXEUR/2026-07-29_56076347_DAXEUR_sell_loss/40_56076347_DAXEUR_sell_M5_open_2026-07-29-202510.png" TargetMode="External" Id="rId312" /><Relationship Type="http://schemas.openxmlformats.org/officeDocument/2006/relationships/hyperlink" Target="../Charts/3214929/DAXEUR/2026-07-29_56076347_DAXEUR_sell_loss/50_56076347_DAXEUR_sell_M1_close_2026-07-29-203509.png" TargetMode="External" Id="rId313" /><Relationship Type="http://schemas.openxmlformats.org/officeDocument/2006/relationships/hyperlink" Target="../Charts/3214929/DAXEUR/2026-07-29_56076347_DAXEUR_sell_loss/50_56076347_DAXEUR_sell_M1_journey_2026-07-29-202510.png" TargetMode="External" Id="rId314" /><Relationship Type="http://schemas.openxmlformats.org/officeDocument/2006/relationships/hyperlink" Target="../Charts/3214929/DAXEUR/2026-07-29_56076347_DAXEUR_sell_loss/50_56076347_DAXEUR_sell_M1_open_2026-07-29-202510.png" TargetMode="External" Id="rId315" /><Relationship Type="http://schemas.openxmlformats.org/officeDocument/2006/relationships/hyperlink" Target="../Charts/3214929/NDXUSD/2026-07-29_56076852_NDXUSD_sell_loss/10_56076852_NDXUSD_sell_H4_close_2026-07-29-203935.png" TargetMode="External" Id="rId316" /><Relationship Type="http://schemas.openxmlformats.org/officeDocument/2006/relationships/hyperlink" Target="../Charts/3214929/NDXUSD/2026-07-29_56076852_NDXUSD_sell_loss/20_56076852_NDXUSD_sell_H1_close_2026-07-29-203935.png" TargetMode="External" Id="rId317" /><Relationship Type="http://schemas.openxmlformats.org/officeDocument/2006/relationships/hyperlink" Target="../Charts/3214929/NDXUSD/2026-07-29_56076852_NDXUSD_sell_loss/30_56076852_NDXUSD_sell_M15_close_2026-07-29-203935.png" TargetMode="External" Id="rId318" /><Relationship Type="http://schemas.openxmlformats.org/officeDocument/2006/relationships/hyperlink" Target="../Charts/3214929/NDXUSD/2026-07-29_56076852_NDXUSD_sell_loss/30_56076852_NDXUSD_sell_M15_open_2026-07-29-203210.png" TargetMode="External" Id="rId319" /><Relationship Type="http://schemas.openxmlformats.org/officeDocument/2006/relationships/hyperlink" Target="../Charts/3214929/NDXUSD/2026-07-29_56076852_NDXUSD_sell_loss/40_56076852_NDXUSD_sell_M5_close_2026-07-29-203935.png" TargetMode="External" Id="rId320" /><Relationship Type="http://schemas.openxmlformats.org/officeDocument/2006/relationships/hyperlink" Target="../Charts/3214929/NDXUSD/2026-07-29_56076852_NDXUSD_sell_loss/40_56076852_NDXUSD_sell_M5_open_2026-07-29-203210.png" TargetMode="External" Id="rId321" /><Relationship Type="http://schemas.openxmlformats.org/officeDocument/2006/relationships/hyperlink" Target="../Charts/3214929/NDXUSD/2026-07-29_56076852_NDXUSD_sell_loss/50_56076852_NDXUSD_sell_M1_close_2026-07-29-203935.png" TargetMode="External" Id="rId322" /><Relationship Type="http://schemas.openxmlformats.org/officeDocument/2006/relationships/hyperlink" Target="../Charts/3214929/NDXUSD/2026-07-29_56076852_NDXUSD_sell_loss/50_56076852_NDXUSD_sell_M1_journey_2026-07-29-203210.png" TargetMode="External" Id="rId323" /><Relationship Type="http://schemas.openxmlformats.org/officeDocument/2006/relationships/hyperlink" Target="../Charts/3214929/NDXUSD/2026-07-29_56076852_NDXUSD_sell_loss/50_56076852_NDXUSD_sell_M1_open_2026-07-29-203210.png" TargetMode="External" Id="rId324" /><Relationship Type="http://schemas.openxmlformats.org/officeDocument/2006/relationships/hyperlink" Target="../Charts/3214929/NDXUSD/2026-07-29_56077928_NDXUSD_sell_scratch/10_56077928_NDXUSD_sell_H4_close_2026-07-29-205302.png" TargetMode="External" Id="rId325" /><Relationship Type="http://schemas.openxmlformats.org/officeDocument/2006/relationships/hyperlink" Target="../Charts/3214929/NDXUSD/2026-07-29_56077928_NDXUSD_sell_scratch/20_56077928_NDXUSD_sell_H1_close_2026-07-29-205302.png" TargetMode="External" Id="rId326" /><Relationship Type="http://schemas.openxmlformats.org/officeDocument/2006/relationships/hyperlink" Target="../Charts/3214929/NDXUSD/2026-07-29_56077928_NDXUSD_sell_scratch/30_56077928_NDXUSD_sell_M15_close_2026-07-29-205302.png" TargetMode="External" Id="rId327" /><Relationship Type="http://schemas.openxmlformats.org/officeDocument/2006/relationships/hyperlink" Target="../Charts/3214929/NDXUSD/2026-07-29_56077928_NDXUSD_sell_scratch/30_56077928_NDXUSD_sell_M15_open_2026-07-29-203811.png" TargetMode="External" Id="rId328" /><Relationship Type="http://schemas.openxmlformats.org/officeDocument/2006/relationships/hyperlink" Target="../Charts/3214929/NDXUSD/2026-07-29_56077928_NDXUSD_sell_scratch/40_56077928_NDXUSD_sell_M5_close_2026-07-29-205302.png" TargetMode="External" Id="rId329" /><Relationship Type="http://schemas.openxmlformats.org/officeDocument/2006/relationships/hyperlink" Target="../Charts/3214929/NDXUSD/2026-07-29_56077928_NDXUSD_sell_scratch/40_56077928_NDXUSD_sell_M5_open_2026-07-29-203811.png" TargetMode="External" Id="rId330" /><Relationship Type="http://schemas.openxmlformats.org/officeDocument/2006/relationships/hyperlink" Target="../Charts/3214929/NDXUSD/2026-07-29_56077928_NDXUSD_sell_scratch/50_56077928_NDXUSD_sell_M1_close_2026-07-29-205302.png" TargetMode="External" Id="rId331" /><Relationship Type="http://schemas.openxmlformats.org/officeDocument/2006/relationships/hyperlink" Target="../Charts/3214929/NDXUSD/2026-07-29_56077928_NDXUSD_sell_scratch/50_56077928_NDXUSD_sell_M1_journey_2026-07-29-203811.png" TargetMode="External" Id="rId332" /><Relationship Type="http://schemas.openxmlformats.org/officeDocument/2006/relationships/hyperlink" Target="../Charts/3214929/NDXUSD/2026-07-29_56077928_NDXUSD_sell_scratch/50_56077928_NDXUSD_sell_M1_open_2026-07-29-203811.png" TargetMode="External" Id="rId333" /><Relationship Type="http://schemas.openxmlformats.org/officeDocument/2006/relationships/hyperlink" Target="../Charts/3214929/XAUUSD/2026-07-29_56078174_XAUUSD_sell_loss/10_56078174_XAUUSD_sell_H4_close_2026-07-29-205451.png" TargetMode="External" Id="rId334" /><Relationship Type="http://schemas.openxmlformats.org/officeDocument/2006/relationships/hyperlink" Target="../Charts/3214929/XAUUSD/2026-07-29_56078174_XAUUSD_sell_loss/20_56078174_XAUUSD_sell_H1_close_2026-07-29-205451.png" TargetMode="External" Id="rId335" /><Relationship Type="http://schemas.openxmlformats.org/officeDocument/2006/relationships/hyperlink" Target="../Charts/3214929/XAUUSD/2026-07-29_56078174_XAUUSD_sell_loss/30_56078174_XAUUSD_sell_M15_close_2026-07-29-205451.png" TargetMode="External" Id="rId336" /><Relationship Type="http://schemas.openxmlformats.org/officeDocument/2006/relationships/hyperlink" Target="../Charts/3214929/XAUUSD/2026-07-29_56078174_XAUUSD_sell_loss/30_56078174_XAUUSD_sell_M15_open_2026-07-29-204009.png" TargetMode="External" Id="rId337" /><Relationship Type="http://schemas.openxmlformats.org/officeDocument/2006/relationships/hyperlink" Target="../Charts/3214929/XAUUSD/2026-07-29_56078174_XAUUSD_sell_loss/40_56078174_XAUUSD_sell_M5_close_2026-07-29-205451.png" TargetMode="External" Id="rId338" /><Relationship Type="http://schemas.openxmlformats.org/officeDocument/2006/relationships/hyperlink" Target="../Charts/3214929/XAUUSD/2026-07-29_56078174_XAUUSD_sell_loss/40_56078174_XAUUSD_sell_M5_open_2026-07-29-204009.png" TargetMode="External" Id="rId339" /><Relationship Type="http://schemas.openxmlformats.org/officeDocument/2006/relationships/hyperlink" Target="../Charts/3214929/XAUUSD/2026-07-29_56078174_XAUUSD_sell_loss/50_56078174_XAUUSD_sell_M1_close_2026-07-29-205451.png" TargetMode="External" Id="rId340" /><Relationship Type="http://schemas.openxmlformats.org/officeDocument/2006/relationships/hyperlink" Target="../Charts/3214929/XAUUSD/2026-07-29_56078174_XAUUSD_sell_loss/50_56078174_XAUUSD_sell_M1_journey_2026-07-29-204009.png" TargetMode="External" Id="rId341" /><Relationship Type="http://schemas.openxmlformats.org/officeDocument/2006/relationships/hyperlink" Target="../Charts/3214929/XAUUSD/2026-07-29_56078174_XAUUSD_sell_loss/50_56078174_XAUUSD_sell_M1_open_2026-07-29-204009.png" TargetMode="External" Id="rId342" /><Relationship Type="http://schemas.openxmlformats.org/officeDocument/2006/relationships/hyperlink" Target="../Charts/3214929/NIKJPY/2026-07-29_56086025_NIKJPY_buy_loss/10_56086025_NIKJPY_buy_H4_close_2026-07-29-235008.png" TargetMode="External" Id="rId343" /><Relationship Type="http://schemas.openxmlformats.org/officeDocument/2006/relationships/hyperlink" Target="../Charts/3214929/NIKJPY/2026-07-29_56086025_NIKJPY_buy_loss/20_56086025_NIKJPY_buy_H1_close_2026-07-29-235008.png" TargetMode="External" Id="rId344" /><Relationship Type="http://schemas.openxmlformats.org/officeDocument/2006/relationships/hyperlink" Target="../Charts/3214929/NIKJPY/2026-07-29_56086025_NIKJPY_buy_loss/30_56086025_NIKJPY_buy_M15_close_2026-07-29-235008.png" TargetMode="External" Id="rId345" /><Relationship Type="http://schemas.openxmlformats.org/officeDocument/2006/relationships/hyperlink" Target="../Charts/3214929/NIKJPY/2026-07-29_56086025_NIKJPY_buy_loss/30_56086025_NIKJPY_buy_M15_open_2026-07-29-234557.png" TargetMode="External" Id="rId346" /><Relationship Type="http://schemas.openxmlformats.org/officeDocument/2006/relationships/hyperlink" Target="../Charts/3214929/NIKJPY/2026-07-29_56086025_NIKJPY_buy_loss/40_56086025_NIKJPY_buy_M5_close_2026-07-29-235008.png" TargetMode="External" Id="rId347" /><Relationship Type="http://schemas.openxmlformats.org/officeDocument/2006/relationships/hyperlink" Target="../Charts/3214929/NIKJPY/2026-07-29_56086025_NIKJPY_buy_loss/40_56086025_NIKJPY_buy_M5_open_2026-07-29-234557.png" TargetMode="External" Id="rId348" /><Relationship Type="http://schemas.openxmlformats.org/officeDocument/2006/relationships/hyperlink" Target="../Charts/3214929/NIKJPY/2026-07-29_56086025_NIKJPY_buy_loss/50_56086025_NIKJPY_buy_M1_close_2026-07-29-235008.png" TargetMode="External" Id="rId349" /><Relationship Type="http://schemas.openxmlformats.org/officeDocument/2006/relationships/hyperlink" Target="../Charts/3214929/NIKJPY/2026-07-29_56086025_NIKJPY_buy_loss/50_56086025_NIKJPY_buy_M1_journey_2026-07-29-234557.png" TargetMode="External" Id="rId350" /><Relationship Type="http://schemas.openxmlformats.org/officeDocument/2006/relationships/hyperlink" Target="../Charts/3214929/NIKJPY/2026-07-29_56086025_NIKJPY_buy_loss/50_56086025_NIKJPY_buy_M1_open_2026-07-29-234557.png" TargetMode="External" Id="rId351" /><Relationship Type="http://schemas.openxmlformats.org/officeDocument/2006/relationships/hyperlink" Target="../Charts/3214929/XAUUSD/2026-07-30_56314087_XAUUSD_sell_loss/10_56314087_XAUUSD_sell_H4_close_2026-07-30-135905.png" TargetMode="External" Id="rId352" /><Relationship Type="http://schemas.openxmlformats.org/officeDocument/2006/relationships/hyperlink" Target="../Charts/3214929/XAUUSD/2026-07-30_56314087_XAUUSD_sell_loss/20_56314087_XAUUSD_sell_H1_close_2026-07-30-135905.png" TargetMode="External" Id="rId353" /><Relationship Type="http://schemas.openxmlformats.org/officeDocument/2006/relationships/hyperlink" Target="../Charts/3214929/XAUUSD/2026-07-30_56314087_XAUUSD_sell_loss/30_56314087_XAUUSD_sell_M15_close_2026-07-30-135905.png" TargetMode="External" Id="rId354" /><Relationship Type="http://schemas.openxmlformats.org/officeDocument/2006/relationships/hyperlink" Target="../Charts/3214929/XAUUSD/2026-07-30_56314087_XAUUSD_sell_loss/30_56314087_XAUUSD_sell_M15_open_2026-07-30-134219.png" TargetMode="External" Id="rId355" /><Relationship Type="http://schemas.openxmlformats.org/officeDocument/2006/relationships/hyperlink" Target="../Charts/3214929/XAUUSD/2026-07-30_56314087_XAUUSD_sell_loss/40_56314087_XAUUSD_sell_M5_close_2026-07-30-135905.png" TargetMode="External" Id="rId356" /><Relationship Type="http://schemas.openxmlformats.org/officeDocument/2006/relationships/hyperlink" Target="../Charts/3214929/XAUUSD/2026-07-30_56314087_XAUUSD_sell_loss/40_56314087_XAUUSD_sell_M5_open_2026-07-30-134219.png" TargetMode="External" Id="rId357" /><Relationship Type="http://schemas.openxmlformats.org/officeDocument/2006/relationships/hyperlink" Target="../Charts/3214929/XAUUSD/2026-07-30_56314087_XAUUSD_sell_loss/50_56314087_XAUUSD_sell_M1_close_2026-07-30-135905.png" TargetMode="External" Id="rId358" /><Relationship Type="http://schemas.openxmlformats.org/officeDocument/2006/relationships/hyperlink" Target="../Charts/3214929/XAUUSD/2026-07-30_56314087_XAUUSD_sell_loss/50_56314087_XAUUSD_sell_M1_journey_2026-07-30-134219.png" TargetMode="External" Id="rId359" /><Relationship Type="http://schemas.openxmlformats.org/officeDocument/2006/relationships/hyperlink" Target="../Charts/3214929/XAUUSD/2026-07-30_56314087_XAUUSD_sell_loss/50_56314087_XAUUSD_sell_M1_open_2026-07-30-134219.png" TargetMode="External" Id="rId360" /><Relationship Type="http://schemas.openxmlformats.org/officeDocument/2006/relationships/hyperlink" Target="../Charts/3214929/XAUUSD/2026-07-30_56390633_XAUUSD_buy_win/10_56390633_XAUUSD_buy_H4_close_2026-07-30-154403.png" TargetMode="External" Id="rId361" /><Relationship Type="http://schemas.openxmlformats.org/officeDocument/2006/relationships/hyperlink" Target="../Charts/3214929/XAUUSD/2026-07-30_56390633_XAUUSD_buy_win/20_56390633_XAUUSD_buy_H1_close_2026-07-30-154403.png" TargetMode="External" Id="rId362" /><Relationship Type="http://schemas.openxmlformats.org/officeDocument/2006/relationships/hyperlink" Target="../Charts/3214929/XAUUSD/2026-07-30_56390633_XAUUSD_buy_win/30_56390633_XAUUSD_buy_M15_close_2026-07-30-154403.png" TargetMode="External" Id="rId363" /><Relationship Type="http://schemas.openxmlformats.org/officeDocument/2006/relationships/hyperlink" Target="../Charts/3214929/XAUUSD/2026-07-30_56390633_XAUUSD_buy_win/30_56390633_XAUUSD_buy_M15_open_2026-07-30-152200.png" TargetMode="External" Id="rId364" /><Relationship Type="http://schemas.openxmlformats.org/officeDocument/2006/relationships/hyperlink" Target="../Charts/3214929/XAUUSD/2026-07-30_56390633_XAUUSD_buy_win/40_56390633_XAUUSD_buy_M5_close_2026-07-30-154403.png" TargetMode="External" Id="rId365" /><Relationship Type="http://schemas.openxmlformats.org/officeDocument/2006/relationships/hyperlink" Target="../Charts/3214929/XAUUSD/2026-07-30_56390633_XAUUSD_buy_win/40_56390633_XAUUSD_buy_M5_open_2026-07-30-152200.png" TargetMode="External" Id="rId366" /><Relationship Type="http://schemas.openxmlformats.org/officeDocument/2006/relationships/hyperlink" Target="../Charts/3214929/XAUUSD/2026-07-30_56390633_XAUUSD_buy_win/50_56390633_XAUUSD_buy_M1_close_2026-07-30-154403.png" TargetMode="External" Id="rId367" /><Relationship Type="http://schemas.openxmlformats.org/officeDocument/2006/relationships/hyperlink" Target="../Charts/3214929/XAUUSD/2026-07-30_56390633_XAUUSD_buy_win/50_56390633_XAUUSD_buy_M1_journey_2026-07-30-152200.png" TargetMode="External" Id="rId368" /><Relationship Type="http://schemas.openxmlformats.org/officeDocument/2006/relationships/hyperlink" Target="../Charts/3214929/XAUUSD/2026-07-30_56390633_XAUUSD_buy_win/50_56390633_XAUUSD_buy_M1_open_2026-07-30-152200.png" TargetMode="External" Id="rId369" /><Relationship Type="http://schemas.openxmlformats.org/officeDocument/2006/relationships/hyperlink" Target="../Charts/3214929/DAXEUR/2026-07-30_56429370_DAXEUR_sell_loss/10_56429370_DAXEUR_sell_H4_close_2026-07-30-174319.png" TargetMode="External" Id="rId370" /><Relationship Type="http://schemas.openxmlformats.org/officeDocument/2006/relationships/hyperlink" Target="../Charts/3214929/DAXEUR/2026-07-30_56429370_DAXEUR_sell_loss/20_56429370_DAXEUR_sell_H1_close_2026-07-30-174319.png" TargetMode="External" Id="rId371" /><Relationship Type="http://schemas.openxmlformats.org/officeDocument/2006/relationships/hyperlink" Target="../Charts/3214929/DAXEUR/2026-07-30_56429370_DAXEUR_sell_loss/30_56429370_DAXEUR_sell_M15_close_2026-07-30-174319.png" TargetMode="External" Id="rId372" /><Relationship Type="http://schemas.openxmlformats.org/officeDocument/2006/relationships/hyperlink" Target="../Charts/3214929/DAXEUR/2026-07-30_56429370_DAXEUR_sell_loss/30_56429370_DAXEUR_sell_M15_open_2026-07-30-173347.png" TargetMode="External" Id="rId373" /><Relationship Type="http://schemas.openxmlformats.org/officeDocument/2006/relationships/hyperlink" Target="../Charts/3214929/DAXEUR/2026-07-30_56429370_DAXEUR_sell_loss/40_56429370_DAXEUR_sell_M5_close_2026-07-30-174319.png" TargetMode="External" Id="rId374" /><Relationship Type="http://schemas.openxmlformats.org/officeDocument/2006/relationships/hyperlink" Target="../Charts/3214929/DAXEUR/2026-07-30_56429370_DAXEUR_sell_loss/40_56429370_DAXEUR_sell_M5_open_2026-07-30-173347.png" TargetMode="External" Id="rId375" /><Relationship Type="http://schemas.openxmlformats.org/officeDocument/2006/relationships/hyperlink" Target="../Charts/3214929/DAXEUR/2026-07-30_56429370_DAXEUR_sell_loss/50_56429370_DAXEUR_sell_M1_close_2026-07-30-174319.png" TargetMode="External" Id="rId376" /><Relationship Type="http://schemas.openxmlformats.org/officeDocument/2006/relationships/hyperlink" Target="../Charts/3214929/DAXEUR/2026-07-30_56429370_DAXEUR_sell_loss/50_56429370_DAXEUR_sell_M1_journey_2026-07-30-173347.png" TargetMode="External" Id="rId377" /><Relationship Type="http://schemas.openxmlformats.org/officeDocument/2006/relationships/hyperlink" Target="../Charts/3214929/DAXEUR/2026-07-30_56429370_DAXEUR_sell_loss/50_56429370_DAXEUR_sell_M1_open_2026-07-30-173347.png" TargetMode="External" Id="rId378" /><Relationship Type="http://schemas.openxmlformats.org/officeDocument/2006/relationships/hyperlink" Target="../Charts/3214929/DAXEUR/2026-07-30_56441184_DAXEUR_sell_loss/10_56441184_DAXEUR_sell_H4_close_2026-07-30-185914.png" TargetMode="External" Id="rId379" /><Relationship Type="http://schemas.openxmlformats.org/officeDocument/2006/relationships/hyperlink" Target="../Charts/3214929/DAXEUR/2026-07-30_56441184_DAXEUR_sell_loss/20_56441184_DAXEUR_sell_H1_close_2026-07-30-185914.png" TargetMode="External" Id="rId380" /><Relationship Type="http://schemas.openxmlformats.org/officeDocument/2006/relationships/hyperlink" Target="../Charts/3214929/DAXEUR/2026-07-30_56441184_DAXEUR_sell_loss/30_56441184_DAXEUR_sell_M15_close_2026-07-30-185914.png" TargetMode="External" Id="rId381" /><Relationship Type="http://schemas.openxmlformats.org/officeDocument/2006/relationships/hyperlink" Target="../Charts/3214929/DAXEUR/2026-07-30_56441184_DAXEUR_sell_loss/30_56441184_DAXEUR_sell_M15_open_2026-07-30-185146.png" TargetMode="External" Id="rId382" /><Relationship Type="http://schemas.openxmlformats.org/officeDocument/2006/relationships/hyperlink" Target="../Charts/3214929/DAXEUR/2026-07-30_56441184_DAXEUR_sell_loss/40_56441184_DAXEUR_sell_M5_close_2026-07-30-185914.png" TargetMode="External" Id="rId383" /><Relationship Type="http://schemas.openxmlformats.org/officeDocument/2006/relationships/hyperlink" Target="../Charts/3214929/DAXEUR/2026-07-30_56441184_DAXEUR_sell_loss/40_56441184_DAXEUR_sell_M5_open_2026-07-30-185146.png" TargetMode="External" Id="rId384" /><Relationship Type="http://schemas.openxmlformats.org/officeDocument/2006/relationships/hyperlink" Target="../Charts/3214929/DAXEUR/2026-07-30_56441184_DAXEUR_sell_loss/50_56441184_DAXEUR_sell_M1_close_2026-07-30-185914.png" TargetMode="External" Id="rId385" /><Relationship Type="http://schemas.openxmlformats.org/officeDocument/2006/relationships/hyperlink" Target="../Charts/3214929/DAXEUR/2026-07-30_56441184_DAXEUR_sell_loss/50_56441184_DAXEUR_sell_M1_journey_2026-07-30-185146.png" TargetMode="External" Id="rId386" /><Relationship Type="http://schemas.openxmlformats.org/officeDocument/2006/relationships/hyperlink" Target="../Charts/3214929/DAXEUR/2026-07-30_56441184_DAXEUR_sell_loss/50_56441184_DAXEUR_sell_M1_open_2026-07-30-185146.png" TargetMode="External" Id="rId387" /><Relationship Type="http://schemas.openxmlformats.org/officeDocument/2006/relationships/hyperlink" Target="../Charts/3214929/DAXEUR/2026-07-30_56431283_DAXEUR_sell_loss/10_56431283_DAXEUR_sell_H4_close_2026-07-30-185914.png" TargetMode="External" Id="rId388" /><Relationship Type="http://schemas.openxmlformats.org/officeDocument/2006/relationships/hyperlink" Target="../Charts/3214929/DAXEUR/2026-07-30_56431283_DAXEUR_sell_loss/20_56431283_DAXEUR_sell_H1_close_2026-07-30-185914.png" TargetMode="External" Id="rId389" /><Relationship Type="http://schemas.openxmlformats.org/officeDocument/2006/relationships/hyperlink" Target="../Charts/3214929/DAXEUR/2026-07-30_56431283_DAXEUR_sell_loss/30_56431283_DAXEUR_sell_M15_close_2026-07-30-185914.png" TargetMode="External" Id="rId390" /><Relationship Type="http://schemas.openxmlformats.org/officeDocument/2006/relationships/hyperlink" Target="../Charts/3214929/DAXEUR/2026-07-30_56431283_DAXEUR_sell_loss/30_56431283_DAXEUR_sell_M15_open_2026-07-30-174130.png" TargetMode="External" Id="rId391" /><Relationship Type="http://schemas.openxmlformats.org/officeDocument/2006/relationships/hyperlink" Target="../Charts/3214929/DAXEUR/2026-07-30_56431283_DAXEUR_sell_loss/40_56431283_DAXEUR_sell_M5_close_2026-07-30-185914.png" TargetMode="External" Id="rId392" /><Relationship Type="http://schemas.openxmlformats.org/officeDocument/2006/relationships/hyperlink" Target="../Charts/3214929/DAXEUR/2026-07-30_56431283_DAXEUR_sell_loss/40_56431283_DAXEUR_sell_M5_open_2026-07-30-174130.png" TargetMode="External" Id="rId393" /><Relationship Type="http://schemas.openxmlformats.org/officeDocument/2006/relationships/hyperlink" Target="../Charts/3214929/DAXEUR/2026-07-30_56431283_DAXEUR_sell_loss/50_56431283_DAXEUR_sell_M1_close_2026-07-30-185914.png" TargetMode="External" Id="rId394" /><Relationship Type="http://schemas.openxmlformats.org/officeDocument/2006/relationships/hyperlink" Target="../Charts/3214929/DAXEUR/2026-07-30_56431283_DAXEUR_sell_loss/50_56431283_DAXEUR_sell_M1_journey_2026-07-30-174130.png" TargetMode="External" Id="rId395" /><Relationship Type="http://schemas.openxmlformats.org/officeDocument/2006/relationships/hyperlink" Target="../Charts/3214929/DAXEUR/2026-07-30_56431283_DAXEUR_sell_loss/50_56431283_DAXEUR_sell_M1_open_2026-07-30-174130.png" TargetMode="External" Id="rId396" /><Relationship Type="http://schemas.openxmlformats.org/officeDocument/2006/relationships/hyperlink" Target="../Charts/3214929/DAXEUR/2026-07-30_56441872_DAXEUR_sell_loss/10_56441872_DAXEUR_sell_H4_close_2026-07-30-190204.png" TargetMode="External" Id="rId397" /><Relationship Type="http://schemas.openxmlformats.org/officeDocument/2006/relationships/hyperlink" Target="../Charts/3214929/DAXEUR/2026-07-30_56441872_DAXEUR_sell_loss/20_56441872_DAXEUR_sell_H1_close_2026-07-30-190204.png" TargetMode="External" Id="rId398" /><Relationship Type="http://schemas.openxmlformats.org/officeDocument/2006/relationships/hyperlink" Target="../Charts/3214929/DAXEUR/2026-07-30_56441872_DAXEUR_sell_loss/30_56441872_DAXEUR_sell_M15_close_2026-07-30-190204.png" TargetMode="External" Id="rId399" /><Relationship Type="http://schemas.openxmlformats.org/officeDocument/2006/relationships/hyperlink" Target="../Charts/3214929/DAXEUR/2026-07-30_56441872_DAXEUR_sell_loss/30_56441872_DAXEUR_sell_M15_open_2026-07-30-185600.png" TargetMode="External" Id="rId400" /><Relationship Type="http://schemas.openxmlformats.org/officeDocument/2006/relationships/hyperlink" Target="../Charts/3214929/DAXEUR/2026-07-30_56441872_DAXEUR_sell_loss/40_56441872_DAXEUR_sell_M5_close_2026-07-30-190204.png" TargetMode="External" Id="rId401" /><Relationship Type="http://schemas.openxmlformats.org/officeDocument/2006/relationships/hyperlink" Target="../Charts/3214929/DAXEUR/2026-07-30_56441872_DAXEUR_sell_loss/40_56441872_DAXEUR_sell_M5_open_2026-07-30-185600.png" TargetMode="External" Id="rId402" /><Relationship Type="http://schemas.openxmlformats.org/officeDocument/2006/relationships/hyperlink" Target="../Charts/3214929/DAXEUR/2026-07-30_56441872_DAXEUR_sell_loss/50_56441872_DAXEUR_sell_M1_close_2026-07-30-190204.png" TargetMode="External" Id="rId403" /><Relationship Type="http://schemas.openxmlformats.org/officeDocument/2006/relationships/hyperlink" Target="../Charts/3214929/DAXEUR/2026-07-30_56441872_DAXEUR_sell_loss/50_56441872_DAXEUR_sell_M1_journey_2026-07-30-185600.png" TargetMode="External" Id="rId404" /><Relationship Type="http://schemas.openxmlformats.org/officeDocument/2006/relationships/hyperlink" Target="../Charts/3214929/DAXEUR/2026-07-30_56441872_DAXEUR_sell_loss/50_56441872_DAXEUR_sell_M1_open_2026-07-30-185600.png" TargetMode="External" Id="rId405" /><Relationship Type="http://schemas.openxmlformats.org/officeDocument/2006/relationships/hyperlink" Target="../Charts/3214929/XAUUSD/2026-07-30_56432997_XAUUSD_sell_loss/10_56432997_XAUUSD_sell_H4_close_2026-07-30-191722.png" TargetMode="External" Id="rId406" /><Relationship Type="http://schemas.openxmlformats.org/officeDocument/2006/relationships/hyperlink" Target="../Charts/3214929/XAUUSD/2026-07-30_56432997_XAUUSD_sell_loss/20_56432997_XAUUSD_sell_H1_close_2026-07-30-191722.png" TargetMode="External" Id="rId407" /><Relationship Type="http://schemas.openxmlformats.org/officeDocument/2006/relationships/hyperlink" Target="../Charts/3214929/XAUUSD/2026-07-30_56432997_XAUUSD_sell_loss/30_56432997_XAUUSD_sell_M15_close_2026-07-30-191722.png" TargetMode="External" Id="rId408" /><Relationship Type="http://schemas.openxmlformats.org/officeDocument/2006/relationships/hyperlink" Target="../Charts/3214929/XAUUSD/2026-07-30_56432997_XAUUSD_sell_loss/30_56432997_XAUUSD_sell_M15_open_2026-07-30-180943.png" TargetMode="External" Id="rId409" /><Relationship Type="http://schemas.openxmlformats.org/officeDocument/2006/relationships/hyperlink" Target="../Charts/3214929/XAUUSD/2026-07-30_56432997_XAUUSD_sell_loss/40_56432997_XAUUSD_sell_M5_close_2026-07-30-191722.png" TargetMode="External" Id="rId410" /><Relationship Type="http://schemas.openxmlformats.org/officeDocument/2006/relationships/hyperlink" Target="../Charts/3214929/XAUUSD/2026-07-30_56432997_XAUUSD_sell_loss/40_56432997_XAUUSD_sell_M5_open_2026-07-30-180943.png" TargetMode="External" Id="rId411" /><Relationship Type="http://schemas.openxmlformats.org/officeDocument/2006/relationships/hyperlink" Target="../Charts/3214929/XAUUSD/2026-07-30_56432997_XAUUSD_sell_loss/50_56432997_XAUUSD_sell_M1_close_2026-07-30-191722.png" TargetMode="External" Id="rId412" /><Relationship Type="http://schemas.openxmlformats.org/officeDocument/2006/relationships/hyperlink" Target="../Charts/3214929/XAUUSD/2026-07-30_56432997_XAUUSD_sell_loss/50_56432997_XAUUSD_sell_M1_journey_2026-07-30-180943.png" TargetMode="External" Id="rId413" /><Relationship Type="http://schemas.openxmlformats.org/officeDocument/2006/relationships/hyperlink" Target="../Charts/3214929/XAUUSD/2026-07-30_56432997_XAUUSD_sell_loss/50_56432997_XAUUSD_sell_M1_open_2026-07-30-180943.png" TargetMode="External" Id="rId414" /><Relationship Type="http://schemas.openxmlformats.org/officeDocument/2006/relationships/hyperlink" Target="../Charts/3214929/NDXUSD/2026-07-31_56578223_NDXUSD_sell_loss/10_56578223_NDXUSD_sell_H4_close_2026-07-31-110125.png" TargetMode="External" Id="rId415" /><Relationship Type="http://schemas.openxmlformats.org/officeDocument/2006/relationships/hyperlink" Target="../Charts/3214929/NDXUSD/2026-07-31_56578223_NDXUSD_sell_loss/20_56578223_NDXUSD_sell_H1_close_2026-07-31-110125.png" TargetMode="External" Id="rId416" /><Relationship Type="http://schemas.openxmlformats.org/officeDocument/2006/relationships/hyperlink" Target="../Charts/3214929/NDXUSD/2026-07-31_56578223_NDXUSD_sell_loss/30_56578223_NDXUSD_sell_M15_close_2026-07-31-110125.png" TargetMode="External" Id="rId417" /><Relationship Type="http://schemas.openxmlformats.org/officeDocument/2006/relationships/hyperlink" Target="../Charts/3214929/NDXUSD/2026-07-31_56578223_NDXUSD_sell_loss/30_56578223_NDXUSD_sell_M15_open_2026-07-31-105213.png" TargetMode="External" Id="rId418" /><Relationship Type="http://schemas.openxmlformats.org/officeDocument/2006/relationships/hyperlink" Target="../Charts/3214929/NDXUSD/2026-07-31_56578223_NDXUSD_sell_loss/40_56578223_NDXUSD_sell_M5_close_2026-07-31-110125.png" TargetMode="External" Id="rId419" /><Relationship Type="http://schemas.openxmlformats.org/officeDocument/2006/relationships/hyperlink" Target="../Charts/3214929/NDXUSD/2026-07-31_56578223_NDXUSD_sell_loss/40_56578223_NDXUSD_sell_M5_open_2026-07-31-105213.png" TargetMode="External" Id="rId420" /><Relationship Type="http://schemas.openxmlformats.org/officeDocument/2006/relationships/hyperlink" Target="../Charts/3214929/NDXUSD/2026-07-31_56578223_NDXUSD_sell_loss/50_56578223_NDXUSD_sell_M1_close_2026-07-31-110125.png" TargetMode="External" Id="rId421" /><Relationship Type="http://schemas.openxmlformats.org/officeDocument/2006/relationships/hyperlink" Target="../Charts/3214929/NDXUSD/2026-07-31_56578223_NDXUSD_sell_loss/50_56578223_NDXUSD_sell_M1_journey_2026-07-31-105213.png" TargetMode="External" Id="rId422" /><Relationship Type="http://schemas.openxmlformats.org/officeDocument/2006/relationships/hyperlink" Target="../Charts/3214929/NDXUSD/2026-07-31_56578223_NDXUSD_sell_loss/50_56578223_NDXUSD_sell_M1_open_2026-07-31-105213.png" TargetMode="External" Id="rId423" /><Relationship Type="http://schemas.openxmlformats.org/officeDocument/2006/relationships/hyperlink" Target="../Charts/3214929/XAUUSD/2026-07-31_56583758_XAUUSD_sell_win/10_56583758_XAUUSD_sell_H4_close_2026-07-31-114231.png" TargetMode="External" Id="rId424" /><Relationship Type="http://schemas.openxmlformats.org/officeDocument/2006/relationships/hyperlink" Target="../Charts/3214929/XAUUSD/2026-07-31_56583758_XAUUSD_sell_win/20_56583758_XAUUSD_sell_H1_close_2026-07-31-114231.png" TargetMode="External" Id="rId425" /><Relationship Type="http://schemas.openxmlformats.org/officeDocument/2006/relationships/hyperlink" Target="../Charts/3214929/XAUUSD/2026-07-31_56583758_XAUUSD_sell_win/30_56583758_XAUUSD_sell_M15_close_2026-07-31-114231.png" TargetMode="External" Id="rId426" /><Relationship Type="http://schemas.openxmlformats.org/officeDocument/2006/relationships/hyperlink" Target="../Charts/3214929/XAUUSD/2026-07-31_56583758_XAUUSD_sell_win/30_56583758_XAUUSD_sell_M15_open_2026-07-31-111152.png" TargetMode="External" Id="rId427" /><Relationship Type="http://schemas.openxmlformats.org/officeDocument/2006/relationships/hyperlink" Target="../Charts/3214929/XAUUSD/2026-07-31_56583758_XAUUSD_sell_win/40_56583758_XAUUSD_sell_M5_close_2026-07-31-114231.png" TargetMode="External" Id="rId428" /><Relationship Type="http://schemas.openxmlformats.org/officeDocument/2006/relationships/hyperlink" Target="../Charts/3214929/XAUUSD/2026-07-31_56583758_XAUUSD_sell_win/40_56583758_XAUUSD_sell_M5_open_2026-07-31-111152.png" TargetMode="External" Id="rId429" /><Relationship Type="http://schemas.openxmlformats.org/officeDocument/2006/relationships/hyperlink" Target="../Charts/3214929/XAUUSD/2026-07-31_56583758_XAUUSD_sell_win/50_56583758_XAUUSD_sell_M1_close_2026-07-31-114231.png" TargetMode="External" Id="rId430" /><Relationship Type="http://schemas.openxmlformats.org/officeDocument/2006/relationships/hyperlink" Target="../Charts/3214929/XAUUSD/2026-07-31_56583758_XAUUSD_sell_win/50_56583758_XAUUSD_sell_M1_journey_2026-07-31-111152.png" TargetMode="External" Id="rId431" /><Relationship Type="http://schemas.openxmlformats.org/officeDocument/2006/relationships/hyperlink" Target="../Charts/3214929/XAUUSD/2026-07-31_56583758_XAUUSD_sell_win/50_56583758_XAUUSD_sell_M1_open_2026-07-31-111152.png" TargetMode="External" Id="rId432" /><Relationship Type="http://schemas.openxmlformats.org/officeDocument/2006/relationships/hyperlink" Target="../Charts/3214929/DJIUSD/2026-07-31_56651727_DJIUSD_buy_loss/10_56651727_DJIUSD_buy_H4_close_2026-07-31-133944.png" TargetMode="External" Id="rId433" /><Relationship Type="http://schemas.openxmlformats.org/officeDocument/2006/relationships/hyperlink" Target="../Charts/3214929/DJIUSD/2026-07-31_56651727_DJIUSD_buy_loss/20_56651727_DJIUSD_buy_H1_close_2026-07-31-133944.png" TargetMode="External" Id="rId434" /><Relationship Type="http://schemas.openxmlformats.org/officeDocument/2006/relationships/hyperlink" Target="../Charts/3214929/DJIUSD/2026-07-31_56651727_DJIUSD_buy_loss/30_56651727_DJIUSD_buy_M15_close_2026-07-31-133944.png" TargetMode="External" Id="rId435" /><Relationship Type="http://schemas.openxmlformats.org/officeDocument/2006/relationships/hyperlink" Target="../Charts/3214929/DJIUSD/2026-07-31_56651727_DJIUSD_buy_loss/30_56651727_DJIUSD_buy_M15_open_2026-07-31-133526.png" TargetMode="External" Id="rId436" /><Relationship Type="http://schemas.openxmlformats.org/officeDocument/2006/relationships/hyperlink" Target="../Charts/3214929/DJIUSD/2026-07-31_56651727_DJIUSD_buy_loss/40_56651727_DJIUSD_buy_M5_close_2026-07-31-133944.png" TargetMode="External" Id="rId437" /><Relationship Type="http://schemas.openxmlformats.org/officeDocument/2006/relationships/hyperlink" Target="../Charts/3214929/DJIUSD/2026-07-31_56651727_DJIUSD_buy_loss/40_56651727_DJIUSD_buy_M5_open_2026-07-31-133526.png" TargetMode="External" Id="rId438" /><Relationship Type="http://schemas.openxmlformats.org/officeDocument/2006/relationships/hyperlink" Target="../Charts/3214929/DJIUSD/2026-07-31_56651727_DJIUSD_buy_loss/50_56651727_DJIUSD_buy_M1_close_2026-07-31-133944.png" TargetMode="External" Id="rId439" /><Relationship Type="http://schemas.openxmlformats.org/officeDocument/2006/relationships/hyperlink" Target="../Charts/3214929/DJIUSD/2026-07-31_56651727_DJIUSD_buy_loss/50_56651727_DJIUSD_buy_M1_journey_2026-07-31-133526.png" TargetMode="External" Id="rId440" /><Relationship Type="http://schemas.openxmlformats.org/officeDocument/2006/relationships/hyperlink" Target="../Charts/3214929/DJIUSD/2026-07-31_56651727_DJIUSD_buy_loss/50_56651727_DJIUSD_buy_M1_open_2026-07-31-133526.png" TargetMode="External" Id="rId441" /><Relationship Type="http://schemas.openxmlformats.org/officeDocument/2006/relationships/hyperlink" Target="../Charts/3214929/DJIUSD/2026-07-31_56718085_DJIUSD_sell_loss/10_56718085_DJIUSD_sell_H4_close_2026-07-31-151356.png" TargetMode="External" Id="rId442" /><Relationship Type="http://schemas.openxmlformats.org/officeDocument/2006/relationships/hyperlink" Target="../Charts/3214929/DJIUSD/2026-07-31_56718085_DJIUSD_sell_loss/20_56718085_DJIUSD_sell_H1_close_2026-07-31-151356.png" TargetMode="External" Id="rId443" /><Relationship Type="http://schemas.openxmlformats.org/officeDocument/2006/relationships/hyperlink" Target="../Charts/3214929/DJIUSD/2026-07-31_56718085_DJIUSD_sell_loss/30_56718085_DJIUSD_sell_M15_close_2026-07-31-151356.png" TargetMode="External" Id="rId444" /><Relationship Type="http://schemas.openxmlformats.org/officeDocument/2006/relationships/hyperlink" Target="../Charts/3214929/DJIUSD/2026-07-31_56718085_DJIUSD_sell_loss/30_56718085_DJIUSD_sell_M15_open_2026-07-31-150317.png" TargetMode="External" Id="rId445" /><Relationship Type="http://schemas.openxmlformats.org/officeDocument/2006/relationships/hyperlink" Target="../Charts/3214929/DJIUSD/2026-07-31_56718085_DJIUSD_sell_loss/40_56718085_DJIUSD_sell_M5_close_2026-07-31-151356.png" TargetMode="External" Id="rId446" /><Relationship Type="http://schemas.openxmlformats.org/officeDocument/2006/relationships/hyperlink" Target="../Charts/3214929/DJIUSD/2026-07-31_56718085_DJIUSD_sell_loss/40_56718085_DJIUSD_sell_M5_open_2026-07-31-150317.png" TargetMode="External" Id="rId447" /><Relationship Type="http://schemas.openxmlformats.org/officeDocument/2006/relationships/hyperlink" Target="../Charts/3214929/DJIUSD/2026-07-31_56718085_DJIUSD_sell_loss/50_56718085_DJIUSD_sell_M1_close_2026-07-31-151356.png" TargetMode="External" Id="rId448" /><Relationship Type="http://schemas.openxmlformats.org/officeDocument/2006/relationships/hyperlink" Target="../Charts/3214929/DJIUSD/2026-07-31_56718085_DJIUSD_sell_loss/50_56718085_DJIUSD_sell_M1_journey_2026-07-31-150317.png" TargetMode="External" Id="rId449" /><Relationship Type="http://schemas.openxmlformats.org/officeDocument/2006/relationships/hyperlink" Target="../Charts/3214929/DJIUSD/2026-07-31_56718085_DJIUSD_sell_loss/50_56718085_DJIUSD_sell_M1_open_2026-07-31-150317.png" TargetMode="External" Id="rId450" /><Relationship Type="http://schemas.openxmlformats.org/officeDocument/2006/relationships/hyperlink" Target="../Charts/3214929/DJIUSD/2026-07-31_56724703_DJIUSD_buy_win/10_56724703_DJIUSD_buy_H4_close_2026-07-31-172423.png" TargetMode="External" Id="rId451" /><Relationship Type="http://schemas.openxmlformats.org/officeDocument/2006/relationships/hyperlink" Target="../Charts/3214929/DJIUSD/2026-07-31_56724703_DJIUSD_buy_win/20_56724703_DJIUSD_buy_H1_close_2026-07-31-172423.png" TargetMode="External" Id="rId452" /><Relationship Type="http://schemas.openxmlformats.org/officeDocument/2006/relationships/hyperlink" Target="../Charts/3214929/DJIUSD/2026-07-31_56724703_DJIUSD_buy_win/30_56724703_DJIUSD_buy_M15_close_2026-07-31-172423.png" TargetMode="External" Id="rId453" /><Relationship Type="http://schemas.openxmlformats.org/officeDocument/2006/relationships/hyperlink" Target="../Charts/3214929/DJIUSD/2026-07-31_56724703_DJIUSD_buy_win/30_56724703_DJIUSD_buy_M15_open_2026-07-31-152644.png" TargetMode="External" Id="rId454" /><Relationship Type="http://schemas.openxmlformats.org/officeDocument/2006/relationships/hyperlink" Target="../Charts/3214929/DJIUSD/2026-07-31_56724703_DJIUSD_buy_win/40_56724703_DJIUSD_buy_M5_close_2026-07-31-172423.png" TargetMode="External" Id="rId455" /><Relationship Type="http://schemas.openxmlformats.org/officeDocument/2006/relationships/hyperlink" Target="../Charts/3214929/DJIUSD/2026-07-31_56724703_DJIUSD_buy_win/40_56724703_DJIUSD_buy_M5_journey_2026-07-31-152644.png" TargetMode="External" Id="rId456" /><Relationship Type="http://schemas.openxmlformats.org/officeDocument/2006/relationships/hyperlink" Target="../Charts/3214929/DJIUSD/2026-07-31_56724703_DJIUSD_buy_win/40_56724703_DJIUSD_buy_M5_open_2026-07-31-152644.png" TargetMode="External" Id="rId457" /><Relationship Type="http://schemas.openxmlformats.org/officeDocument/2006/relationships/hyperlink" Target="../Charts/3214929/DJIUSD/2026-07-31_56724703_DJIUSD_buy_win/50_56724703_DJIUSD_buy_M1_close_2026-07-31-172423.png" TargetMode="External" Id="rId458" /><Relationship Type="http://schemas.openxmlformats.org/officeDocument/2006/relationships/hyperlink" Target="../Charts/3214929/DJIUSD/2026-07-31_56724703_DJIUSD_buy_win/50_56724703_DJIUSD_buy_M1_open_2026-07-31-152644.png" TargetMode="External" Id="rId459" /><Relationship Type="http://schemas.openxmlformats.org/officeDocument/2006/relationships/hyperlink" Target="../Charts/3214929/DAXEUR/2026-08-03_56847975_DAXEUR_buy_loss/10_56847975_DAXEUR_buy_H4_close_2026-08-03-074045.png" TargetMode="External" Id="rId460" /><Relationship Type="http://schemas.openxmlformats.org/officeDocument/2006/relationships/hyperlink" Target="../Charts/3214929/DAXEUR/2026-08-03_56847975_DAXEUR_buy_loss/20_56847975_DAXEUR_buy_H1_close_2026-08-03-074045.png" TargetMode="External" Id="rId461" /><Relationship Type="http://schemas.openxmlformats.org/officeDocument/2006/relationships/hyperlink" Target="../Charts/3214929/DAXEUR/2026-08-03_56847975_DAXEUR_buy_loss/30_56847975_DAXEUR_buy_M15_close_2026-08-03-074045.png" TargetMode="External" Id="rId462" /><Relationship Type="http://schemas.openxmlformats.org/officeDocument/2006/relationships/hyperlink" Target="../Charts/3214929/DAXEUR/2026-08-03_56847975_DAXEUR_buy_loss/30_56847975_DAXEUR_buy_M15_open_2026-08-03-073354.png" TargetMode="External" Id="rId463" /><Relationship Type="http://schemas.openxmlformats.org/officeDocument/2006/relationships/hyperlink" Target="../Charts/3214929/DAXEUR/2026-08-03_56847975_DAXEUR_buy_loss/40_56847975_DAXEUR_buy_M5_close_2026-08-03-074045.png" TargetMode="External" Id="rId464" /><Relationship Type="http://schemas.openxmlformats.org/officeDocument/2006/relationships/hyperlink" Target="../Charts/3214929/DAXEUR/2026-08-03_56847975_DAXEUR_buy_loss/40_56847975_DAXEUR_buy_M5_open_2026-08-03-073354.png" TargetMode="External" Id="rId465" /><Relationship Type="http://schemas.openxmlformats.org/officeDocument/2006/relationships/hyperlink" Target="../Charts/3214929/DAXEUR/2026-08-03_56847975_DAXEUR_buy_loss/50_56847975_DAXEUR_buy_M1_close_2026-08-03-074045.png" TargetMode="External" Id="rId466" /><Relationship Type="http://schemas.openxmlformats.org/officeDocument/2006/relationships/hyperlink" Target="../Charts/3214929/DAXEUR/2026-08-03_56847975_DAXEUR_buy_loss/50_56847975_DAXEUR_buy_M1_journey_2026-08-03-073354.png" TargetMode="External" Id="rId467" /><Relationship Type="http://schemas.openxmlformats.org/officeDocument/2006/relationships/hyperlink" Target="../Charts/3214929/DAXEUR/2026-08-03_56847975_DAXEUR_buy_loss/50_56847975_DAXEUR_buy_M1_open_2026-08-03-073354.png" TargetMode="External" Id="rId468" /><Relationship Type="http://schemas.openxmlformats.org/officeDocument/2006/relationships/hyperlink" Target="../Charts/3214929/DAXEUR/2026-08-03_56851593_DAXEUR_buy_win/10_56851593_DAXEUR_buy_H4_close_2026-08-03-075624.png" TargetMode="External" Id="rId469" /><Relationship Type="http://schemas.openxmlformats.org/officeDocument/2006/relationships/hyperlink" Target="../Charts/3214929/DAXEUR/2026-08-03_56851593_DAXEUR_buy_win/20_56851593_DAXEUR_buy_H1_close_2026-08-03-075624.png" TargetMode="External" Id="rId470" /><Relationship Type="http://schemas.openxmlformats.org/officeDocument/2006/relationships/hyperlink" Target="../Charts/3214929/DAXEUR/2026-08-03_56851593_DAXEUR_buy_win/30_56851593_DAXEUR_buy_M15_close_2026-08-03-075624.png" TargetMode="External" Id="rId471" /><Relationship Type="http://schemas.openxmlformats.org/officeDocument/2006/relationships/hyperlink" Target="../Charts/3214929/DAXEUR/2026-08-03_56851593_DAXEUR_buy_win/30_56851593_DAXEUR_buy_M15_open_2026-08-03-074422.png" TargetMode="External" Id="rId472" /><Relationship Type="http://schemas.openxmlformats.org/officeDocument/2006/relationships/hyperlink" Target="../Charts/3214929/DAXEUR/2026-08-03_56851593_DAXEUR_buy_win/40_56851593_DAXEUR_buy_M5_close_2026-08-03-075624.png" TargetMode="External" Id="rId473" /><Relationship Type="http://schemas.openxmlformats.org/officeDocument/2006/relationships/hyperlink" Target="../Charts/3214929/DAXEUR/2026-08-03_56851593_DAXEUR_buy_win/40_56851593_DAXEUR_buy_M5_open_2026-08-03-074422.png" TargetMode="External" Id="rId474" /><Relationship Type="http://schemas.openxmlformats.org/officeDocument/2006/relationships/hyperlink" Target="../Charts/3214929/DAXEUR/2026-08-03_56851593_DAXEUR_buy_win/50_56851593_DAXEUR_buy_M1_close_2026-08-03-075624.png" TargetMode="External" Id="rId475" /><Relationship Type="http://schemas.openxmlformats.org/officeDocument/2006/relationships/hyperlink" Target="../Charts/3214929/DAXEUR/2026-08-03_56851593_DAXEUR_buy_win/50_56851593_DAXEUR_buy_M1_journey_2026-08-03-074422.png" TargetMode="External" Id="rId476" /><Relationship Type="http://schemas.openxmlformats.org/officeDocument/2006/relationships/hyperlink" Target="../Charts/3214929/DAXEUR/2026-08-03_56851593_DAXEUR_buy_win/50_56851593_DAXEUR_buy_M1_open_2026-08-03-074422.png" TargetMode="External" Id="rId477" /><Relationship Type="http://schemas.openxmlformats.org/officeDocument/2006/relationships/hyperlink" Target="../Charts/3214929/DAXEUR/2026-08-03_56856761_DAXEUR_sell_loss/10_56856761_DAXEUR_sell_H4_close_2026-08-03-081518.png" TargetMode="External" Id="rId478" /><Relationship Type="http://schemas.openxmlformats.org/officeDocument/2006/relationships/hyperlink" Target="../Charts/3214929/DAXEUR/2026-08-03_56856761_DAXEUR_sell_loss/20_56856761_DAXEUR_sell_H1_close_2026-08-03-081518.png" TargetMode="External" Id="rId479" /><Relationship Type="http://schemas.openxmlformats.org/officeDocument/2006/relationships/hyperlink" Target="../Charts/3214929/DAXEUR/2026-08-03_56856761_DAXEUR_sell_loss/30_56856761_DAXEUR_sell_M15_close_2026-08-03-081518.png" TargetMode="External" Id="rId480" /><Relationship Type="http://schemas.openxmlformats.org/officeDocument/2006/relationships/hyperlink" Target="../Charts/3214929/DAXEUR/2026-08-03_56856761_DAXEUR_sell_loss/30_56856761_DAXEUR_sell_M15_open_2026-08-03-080308.png" TargetMode="External" Id="rId481" /><Relationship Type="http://schemas.openxmlformats.org/officeDocument/2006/relationships/hyperlink" Target="../Charts/3214929/DAXEUR/2026-08-03_56856761_DAXEUR_sell_loss/40_56856761_DAXEUR_sell_M5_close_2026-08-03-081518.png" TargetMode="External" Id="rId482" /><Relationship Type="http://schemas.openxmlformats.org/officeDocument/2006/relationships/hyperlink" Target="../Charts/3214929/DAXEUR/2026-08-03_56856761_DAXEUR_sell_loss/40_56856761_DAXEUR_sell_M5_open_2026-08-03-080308.png" TargetMode="External" Id="rId483" /><Relationship Type="http://schemas.openxmlformats.org/officeDocument/2006/relationships/hyperlink" Target="../Charts/3214929/DAXEUR/2026-08-03_56856761_DAXEUR_sell_loss/50_56856761_DAXEUR_sell_M1_close_2026-08-03-081518.png" TargetMode="External" Id="rId484" /><Relationship Type="http://schemas.openxmlformats.org/officeDocument/2006/relationships/hyperlink" Target="../Charts/3214929/DAXEUR/2026-08-03_56856761_DAXEUR_sell_loss/50_56856761_DAXEUR_sell_M1_journey_2026-08-03-080308.png" TargetMode="External" Id="rId485" /><Relationship Type="http://schemas.openxmlformats.org/officeDocument/2006/relationships/hyperlink" Target="../Charts/3214929/DAXEUR/2026-08-03_56856761_DAXEUR_sell_loss/50_56856761_DAXEUR_sell_M1_open_2026-08-03-080308.png" TargetMode="External" Id="rId486" /><Relationship Type="http://schemas.openxmlformats.org/officeDocument/2006/relationships/hyperlink" Target="../Charts/3214929/XAUUSD/2026-08-03_56869455_XAUUSD_sell_loss/10_56869455_XAUUSD_sell_H4_close_2026-08-03-085932.png" TargetMode="External" Id="rId487" /><Relationship Type="http://schemas.openxmlformats.org/officeDocument/2006/relationships/hyperlink" Target="../Charts/3214929/XAUUSD/2026-08-03_56869455_XAUUSD_sell_loss/20_56869455_XAUUSD_sell_H1_close_2026-08-03-085932.png" TargetMode="External" Id="rId488" /><Relationship Type="http://schemas.openxmlformats.org/officeDocument/2006/relationships/hyperlink" Target="../Charts/3214929/XAUUSD/2026-08-03_56869455_XAUUSD_sell_loss/30_56869455_XAUUSD_sell_M15_close_2026-08-03-085932.png" TargetMode="External" Id="rId489" /><Relationship Type="http://schemas.openxmlformats.org/officeDocument/2006/relationships/hyperlink" Target="../Charts/3214929/XAUUSD/2026-08-03_56869455_XAUUSD_sell_loss/30_56869455_XAUUSD_sell_M15_open_2026-08-03-085002.png" TargetMode="External" Id="rId490" /><Relationship Type="http://schemas.openxmlformats.org/officeDocument/2006/relationships/hyperlink" Target="../Charts/3214929/XAUUSD/2026-08-03_56869455_XAUUSD_sell_loss/40_56869455_XAUUSD_sell_M5_close_2026-08-03-085932.png" TargetMode="External" Id="rId491" /><Relationship Type="http://schemas.openxmlformats.org/officeDocument/2006/relationships/hyperlink" Target="../Charts/3214929/XAUUSD/2026-08-03_56869455_XAUUSD_sell_loss/40_56869455_XAUUSD_sell_M5_open_2026-08-03-085002.png" TargetMode="External" Id="rId492" /><Relationship Type="http://schemas.openxmlformats.org/officeDocument/2006/relationships/hyperlink" Target="../Charts/3214929/XAUUSD/2026-08-03_56869455_XAUUSD_sell_loss/50_56869455_XAUUSD_sell_M1_close_2026-08-03-085932.png" TargetMode="External" Id="rId493" /><Relationship Type="http://schemas.openxmlformats.org/officeDocument/2006/relationships/hyperlink" Target="../Charts/3214929/XAUUSD/2026-08-03_56869455_XAUUSD_sell_loss/50_56869455_XAUUSD_sell_M1_journey_2026-08-03-085002.png" TargetMode="External" Id="rId494" /><Relationship Type="http://schemas.openxmlformats.org/officeDocument/2006/relationships/hyperlink" Target="../Charts/3214929/XAUUSD/2026-08-03_56869455_XAUUSD_sell_loss/50_56869455_XAUUSD_sell_M1_open_2026-08-03-085002.png" TargetMode="External" Id="rId495" /><Relationship Type="http://schemas.openxmlformats.org/officeDocument/2006/relationships/hyperlink" Target="../Charts/3214929/XAUUSD/2026-08-03_56869513_XAUUSD_sell_win/10_56869513_XAUUSD_sell_H4_close_2026-08-03-092505.png" TargetMode="External" Id="rId496" /><Relationship Type="http://schemas.openxmlformats.org/officeDocument/2006/relationships/hyperlink" Target="../Charts/3214929/XAUUSD/2026-08-03_56869513_XAUUSD_sell_win/20_56869513_XAUUSD_sell_H1_close_2026-08-03-092505.png" TargetMode="External" Id="rId497" /><Relationship Type="http://schemas.openxmlformats.org/officeDocument/2006/relationships/hyperlink" Target="../Charts/3214929/XAUUSD/2026-08-03_56869513_XAUUSD_sell_win/30_56869513_XAUUSD_sell_M15_close_2026-08-03-092505.png" TargetMode="External" Id="rId498" /><Relationship Type="http://schemas.openxmlformats.org/officeDocument/2006/relationships/hyperlink" Target="../Charts/3214929/XAUUSD/2026-08-03_56869513_XAUUSD_sell_win/30_56869513_XAUUSD_sell_M15_open_2026-08-03-085024.png" TargetMode="External" Id="rId499" /><Relationship Type="http://schemas.openxmlformats.org/officeDocument/2006/relationships/hyperlink" Target="../Charts/3214929/XAUUSD/2026-08-03_56869513_XAUUSD_sell_win/40_56869513_XAUUSD_sell_M5_close_2026-08-03-092505.png" TargetMode="External" Id="rId500" /><Relationship Type="http://schemas.openxmlformats.org/officeDocument/2006/relationships/hyperlink" Target="../Charts/3214929/XAUUSD/2026-08-03_56869513_XAUUSD_sell_win/40_56869513_XAUUSD_sell_M5_open_2026-08-03-085024.png" TargetMode="External" Id="rId501" /><Relationship Type="http://schemas.openxmlformats.org/officeDocument/2006/relationships/hyperlink" Target="../Charts/3214929/XAUUSD/2026-08-03_56869513_XAUUSD_sell_win/50_56869513_XAUUSD_sell_M1_close_2026-08-03-092505.png" TargetMode="External" Id="rId502" /><Relationship Type="http://schemas.openxmlformats.org/officeDocument/2006/relationships/hyperlink" Target="../Charts/3214929/XAUUSD/2026-08-03_56869513_XAUUSD_sell_win/50_56869513_XAUUSD_sell_M1_journey_2026-08-03-085024.png" TargetMode="External" Id="rId503" /><Relationship Type="http://schemas.openxmlformats.org/officeDocument/2006/relationships/hyperlink" Target="../Charts/3214929/XAUUSD/2026-08-03_56869513_XAUUSD_sell_win/50_56869513_XAUUSD_sell_M1_open_2026-08-03-085024.png" TargetMode="External" Id="rId504" /><Relationship Type="http://schemas.openxmlformats.org/officeDocument/2006/relationships/hyperlink" Target="../Charts/3214929/DAXEUR/2026-08-03_56871255_DAXEUR_sell_loss/10_56871255_DAXEUR_sell_H4_close_2026-08-03-093027.png" TargetMode="External" Id="rId505" /><Relationship Type="http://schemas.openxmlformats.org/officeDocument/2006/relationships/hyperlink" Target="../Charts/3214929/DAXEUR/2026-08-03_56871255_DAXEUR_sell_loss/20_56871255_DAXEUR_sell_H1_close_2026-08-03-093027.png" TargetMode="External" Id="rId506" /><Relationship Type="http://schemas.openxmlformats.org/officeDocument/2006/relationships/hyperlink" Target="../Charts/3214929/DAXEUR/2026-08-03_56871255_DAXEUR_sell_loss/30_56871255_DAXEUR_sell_M15_close_2026-08-03-093027.png" TargetMode="External" Id="rId507" /><Relationship Type="http://schemas.openxmlformats.org/officeDocument/2006/relationships/hyperlink" Target="../Charts/3214929/DAXEUR/2026-08-03_56871255_DAXEUR_sell_loss/30_56871255_DAXEUR_sell_M15_open_2026-08-03-085929.png" TargetMode="External" Id="rId508" /><Relationship Type="http://schemas.openxmlformats.org/officeDocument/2006/relationships/hyperlink" Target="../Charts/3214929/DAXEUR/2026-08-03_56871255_DAXEUR_sell_loss/40_56871255_DAXEUR_sell_M5_close_2026-08-03-093027.png" TargetMode="External" Id="rId509" /><Relationship Type="http://schemas.openxmlformats.org/officeDocument/2006/relationships/hyperlink" Target="../Charts/3214929/DAXEUR/2026-08-03_56871255_DAXEUR_sell_loss/40_56871255_DAXEUR_sell_M5_open_2026-08-03-085929.png" TargetMode="External" Id="rId510" /><Relationship Type="http://schemas.openxmlformats.org/officeDocument/2006/relationships/hyperlink" Target="../Charts/3214929/DAXEUR/2026-08-03_56871255_DAXEUR_sell_loss/50_56871255_DAXEUR_sell_M1_close_2026-08-03-093027.png" TargetMode="External" Id="rId511" /><Relationship Type="http://schemas.openxmlformats.org/officeDocument/2006/relationships/hyperlink" Target="../Charts/3214929/DAXEUR/2026-08-03_56871255_DAXEUR_sell_loss/50_56871255_DAXEUR_sell_M1_journey_2026-08-03-085929.png" TargetMode="External" Id="rId512" /><Relationship Type="http://schemas.openxmlformats.org/officeDocument/2006/relationships/hyperlink" Target="../Charts/3214929/DAXEUR/2026-08-03_56871255_DAXEUR_sell_loss/50_56871255_DAXEUR_sell_M1_open_2026-08-03-085929.png" TargetMode="External" Id="rId513" /><Relationship Type="http://schemas.openxmlformats.org/officeDocument/2006/relationships/hyperlink" Target="../Charts/3214929/DAXEUR/2026-08-03_56887531_DAXEUR_sell_win/10_56887531_DAXEUR_sell_H4_close_2026-08-03-095847.png" TargetMode="External" Id="rId514" /><Relationship Type="http://schemas.openxmlformats.org/officeDocument/2006/relationships/hyperlink" Target="../Charts/3214929/DAXEUR/2026-08-03_56887531_DAXEUR_sell_win/20_56887531_DAXEUR_sell_H1_close_2026-08-03-095847.png" TargetMode="External" Id="rId515" /><Relationship Type="http://schemas.openxmlformats.org/officeDocument/2006/relationships/hyperlink" Target="../Charts/3214929/DAXEUR/2026-08-03_56887531_DAXEUR_sell_win/30_56887531_DAXEUR_sell_M15_close_2026-08-03-095847.png" TargetMode="External" Id="rId516" /><Relationship Type="http://schemas.openxmlformats.org/officeDocument/2006/relationships/hyperlink" Target="../Charts/3214929/DAXEUR/2026-08-03_56887531_DAXEUR_sell_win/30_56887531_DAXEUR_sell_M15_open_2026-08-03-094916.png" TargetMode="External" Id="rId517" /><Relationship Type="http://schemas.openxmlformats.org/officeDocument/2006/relationships/hyperlink" Target="../Charts/3214929/DAXEUR/2026-08-03_56887531_DAXEUR_sell_win/40_56887531_DAXEUR_sell_M5_close_2026-08-03-095847.png" TargetMode="External" Id="rId518" /><Relationship Type="http://schemas.openxmlformats.org/officeDocument/2006/relationships/hyperlink" Target="../Charts/3214929/DAXEUR/2026-08-03_56887531_DAXEUR_sell_win/40_56887531_DAXEUR_sell_M5_open_2026-08-03-094916.png" TargetMode="External" Id="rId519" /><Relationship Type="http://schemas.openxmlformats.org/officeDocument/2006/relationships/hyperlink" Target="../Charts/3214929/DAXEUR/2026-08-03_56887531_DAXEUR_sell_win/50_56887531_DAXEUR_sell_M1_close_2026-08-03-095847.png" TargetMode="External" Id="rId520" /><Relationship Type="http://schemas.openxmlformats.org/officeDocument/2006/relationships/hyperlink" Target="../Charts/3214929/DAXEUR/2026-08-03_56887531_DAXEUR_sell_win/50_56887531_DAXEUR_sell_M1_journey_2026-08-03-094916.png" TargetMode="External" Id="rId521" /><Relationship Type="http://schemas.openxmlformats.org/officeDocument/2006/relationships/hyperlink" Target="../Charts/3214929/DAXEUR/2026-08-03_56887531_DAXEUR_sell_win/50_56887531_DAXEUR_sell_M1_open_2026-08-03-094916.png" TargetMode="External" Id="rId522" /><Relationship Type="http://schemas.openxmlformats.org/officeDocument/2006/relationships/hyperlink" Target="../Charts/3214929/DAXEUR/2026-08-03_56885565_DAXEUR_sell_win/10_56885565_DAXEUR_sell_H4_close_2026-08-03-101023.png" TargetMode="External" Id="rId523" /><Relationship Type="http://schemas.openxmlformats.org/officeDocument/2006/relationships/hyperlink" Target="../Charts/3214929/DAXEUR/2026-08-03_56885565_DAXEUR_sell_win/20_56885565_DAXEUR_sell_H1_close_2026-08-03-101023.png" TargetMode="External" Id="rId524" /><Relationship Type="http://schemas.openxmlformats.org/officeDocument/2006/relationships/hyperlink" Target="../Charts/3214929/DAXEUR/2026-08-03_56885565_DAXEUR_sell_win/30_56885565_DAXEUR_sell_M15_close_2026-08-03-101023.png" TargetMode="External" Id="rId525" /><Relationship Type="http://schemas.openxmlformats.org/officeDocument/2006/relationships/hyperlink" Target="../Charts/3214929/DAXEUR/2026-08-03_56885565_DAXEUR_sell_win/30_56885565_DAXEUR_sell_M15_open_2026-08-03-094801.png" TargetMode="External" Id="rId526" /><Relationship Type="http://schemas.openxmlformats.org/officeDocument/2006/relationships/hyperlink" Target="../Charts/3214929/DAXEUR/2026-08-03_56885565_DAXEUR_sell_win/40_56885565_DAXEUR_sell_M5_close_2026-08-03-101023.png" TargetMode="External" Id="rId527" /><Relationship Type="http://schemas.openxmlformats.org/officeDocument/2006/relationships/hyperlink" Target="../Charts/3214929/DAXEUR/2026-08-03_56885565_DAXEUR_sell_win/40_56885565_DAXEUR_sell_M5_open_2026-08-03-094801.png" TargetMode="External" Id="rId528" /><Relationship Type="http://schemas.openxmlformats.org/officeDocument/2006/relationships/hyperlink" Target="../Charts/3214929/DAXEUR/2026-08-03_56885565_DAXEUR_sell_win/50_56885565_DAXEUR_sell_M1_close_2026-08-03-101023.png" TargetMode="External" Id="rId529" /><Relationship Type="http://schemas.openxmlformats.org/officeDocument/2006/relationships/hyperlink" Target="../Charts/3214929/DAXEUR/2026-08-03_56885565_DAXEUR_sell_win/50_56885565_DAXEUR_sell_M1_journey_2026-08-03-094801.png" TargetMode="External" Id="rId530" /><Relationship Type="http://schemas.openxmlformats.org/officeDocument/2006/relationships/hyperlink" Target="../Charts/3214929/DAXEUR/2026-08-03_56885565_DAXEUR_sell_win/50_56885565_DAXEUR_sell_M1_open_2026-08-03-094801.png" TargetMode="External" Id="rId531" /><Relationship Type="http://schemas.openxmlformats.org/officeDocument/2006/relationships/hyperlink" Target="../Charts/3214929/XAUUSD/2026-08-03_56906785_XAUUSD_buy_win/10_56906785_XAUUSD_buy_H4_close_2026-08-03-114955.png" TargetMode="External" Id="rId532" /><Relationship Type="http://schemas.openxmlformats.org/officeDocument/2006/relationships/hyperlink" Target="../Charts/3214929/XAUUSD/2026-08-03_56906785_XAUUSD_buy_win/20_56906785_XAUUSD_buy_H1_close_2026-08-03-114955.png" TargetMode="External" Id="rId533" /><Relationship Type="http://schemas.openxmlformats.org/officeDocument/2006/relationships/hyperlink" Target="../Charts/3214929/XAUUSD/2026-08-03_56906785_XAUUSD_buy_win/30_56906785_XAUUSD_buy_M15_close_2026-08-03-114955.png" TargetMode="External" Id="rId534" /><Relationship Type="http://schemas.openxmlformats.org/officeDocument/2006/relationships/hyperlink" Target="../Charts/3214929/XAUUSD/2026-08-03_56906785_XAUUSD_buy_win/30_56906785_XAUUSD_buy_M15_open_2026-08-03-112142.png" TargetMode="External" Id="rId535" /><Relationship Type="http://schemas.openxmlformats.org/officeDocument/2006/relationships/hyperlink" Target="../Charts/3214929/XAUUSD/2026-08-03_56906785_XAUUSD_buy_win/40_56906785_XAUUSD_buy_M5_close_2026-08-03-114955.png" TargetMode="External" Id="rId536" /><Relationship Type="http://schemas.openxmlformats.org/officeDocument/2006/relationships/hyperlink" Target="../Charts/3214929/XAUUSD/2026-08-03_56906785_XAUUSD_buy_win/40_56906785_XAUUSD_buy_M5_open_2026-08-03-112142.png" TargetMode="External" Id="rId537" /><Relationship Type="http://schemas.openxmlformats.org/officeDocument/2006/relationships/hyperlink" Target="../Charts/3214929/XAUUSD/2026-08-03_56906785_XAUUSD_buy_win/50_56906785_XAUUSD_buy_M1_close_2026-08-03-114955.png" TargetMode="External" Id="rId538" /><Relationship Type="http://schemas.openxmlformats.org/officeDocument/2006/relationships/hyperlink" Target="../Charts/3214929/XAUUSD/2026-08-03_56906785_XAUUSD_buy_win/50_56906785_XAUUSD_buy_M1_journey_2026-08-03-112142.png" TargetMode="External" Id="rId539" /><Relationship Type="http://schemas.openxmlformats.org/officeDocument/2006/relationships/hyperlink" Target="../Charts/3214929/XAUUSD/2026-08-03_56906785_XAUUSD_buy_win/50_56906785_XAUUSD_buy_M1_open_2026-08-03-112142.png" TargetMode="External" Id="rId540" /><Relationship Type="http://schemas.openxmlformats.org/officeDocument/2006/relationships/hyperlink" Target="../Charts/3214929/NIKJPY/2026-08-03_56908570_NIKJPY_buy_loss/10_56908570_NIKJPY_buy_H4_close_2026-08-03-115105.png" TargetMode="External" Id="rId541" /><Relationship Type="http://schemas.openxmlformats.org/officeDocument/2006/relationships/hyperlink" Target="../Charts/3214929/NIKJPY/2026-08-03_56908570_NIKJPY_buy_loss/20_56908570_NIKJPY_buy_H1_close_2026-08-03-115105.png" TargetMode="External" Id="rId542" /><Relationship Type="http://schemas.openxmlformats.org/officeDocument/2006/relationships/hyperlink" Target="../Charts/3214929/NIKJPY/2026-08-03_56908570_NIKJPY_buy_loss/30_56908570_NIKJPY_buy_M15_close_2026-08-03-115105.png" TargetMode="External" Id="rId543" /><Relationship Type="http://schemas.openxmlformats.org/officeDocument/2006/relationships/hyperlink" Target="../Charts/3214929/NIKJPY/2026-08-03_56908570_NIKJPY_buy_loss/30_56908570_NIKJPY_buy_M15_open_2026-08-03-113945.png" TargetMode="External" Id="rId544" /><Relationship Type="http://schemas.openxmlformats.org/officeDocument/2006/relationships/hyperlink" Target="../Charts/3214929/NIKJPY/2026-08-03_56908570_NIKJPY_buy_loss/40_56908570_NIKJPY_buy_M5_close_2026-08-03-115105.png" TargetMode="External" Id="rId545" /><Relationship Type="http://schemas.openxmlformats.org/officeDocument/2006/relationships/hyperlink" Target="../Charts/3214929/NIKJPY/2026-08-03_56908570_NIKJPY_buy_loss/40_56908570_NIKJPY_buy_M5_open_2026-08-03-113945.png" TargetMode="External" Id="rId546" /><Relationship Type="http://schemas.openxmlformats.org/officeDocument/2006/relationships/hyperlink" Target="../Charts/3214929/NIKJPY/2026-08-03_56908570_NIKJPY_buy_loss/50_56908570_NIKJPY_buy_M1_close_2026-08-03-115105.png" TargetMode="External" Id="rId547" /><Relationship Type="http://schemas.openxmlformats.org/officeDocument/2006/relationships/hyperlink" Target="../Charts/3214929/NIKJPY/2026-08-03_56908570_NIKJPY_buy_loss/50_56908570_NIKJPY_buy_M1_journey_2026-08-03-113945.png" TargetMode="External" Id="rId548" /><Relationship Type="http://schemas.openxmlformats.org/officeDocument/2006/relationships/hyperlink" Target="../Charts/3214929/NIKJPY/2026-08-03_56908570_NIKJPY_buy_loss/50_56908570_NIKJPY_buy_M1_open_2026-08-03-113945.png" TargetMode="External" Id="rId549" /><Relationship Type="http://schemas.openxmlformats.org/officeDocument/2006/relationships/hyperlink" Target="../Charts/3214929/DJIUSD/2026-08-03_57008578_DJIUSD_buy_loss/10_57008578_DJIUSD_buy_H4_close_2026-08-03-140409.png" TargetMode="External" Id="rId550" /><Relationship Type="http://schemas.openxmlformats.org/officeDocument/2006/relationships/hyperlink" Target="../Charts/3214929/DJIUSD/2026-08-03_57008578_DJIUSD_buy_loss/20_57008578_DJIUSD_buy_H1_close_2026-08-03-140409.png" TargetMode="External" Id="rId551" /><Relationship Type="http://schemas.openxmlformats.org/officeDocument/2006/relationships/hyperlink" Target="../Charts/3214929/DJIUSD/2026-08-03_57008578_DJIUSD_buy_loss/30_57008578_DJIUSD_buy_M15_close_2026-08-03-140409.png" TargetMode="External" Id="rId552" /><Relationship Type="http://schemas.openxmlformats.org/officeDocument/2006/relationships/hyperlink" Target="../Charts/3214929/DJIUSD/2026-08-03_57008578_DJIUSD_buy_loss/30_57008578_DJIUSD_buy_M15_open_2026-08-03-140256.png" TargetMode="External" Id="rId553" /><Relationship Type="http://schemas.openxmlformats.org/officeDocument/2006/relationships/hyperlink" Target="../Charts/3214929/DJIUSD/2026-08-03_57008578_DJIUSD_buy_loss/40_57008578_DJIUSD_buy_M5_close_2026-08-03-140409.png" TargetMode="External" Id="rId554" /><Relationship Type="http://schemas.openxmlformats.org/officeDocument/2006/relationships/hyperlink" Target="../Charts/3214929/DJIUSD/2026-08-03_57008578_DJIUSD_buy_loss/40_57008578_DJIUSD_buy_M5_open_2026-08-03-140256.png" TargetMode="External" Id="rId555" /><Relationship Type="http://schemas.openxmlformats.org/officeDocument/2006/relationships/hyperlink" Target="../Charts/3214929/DJIUSD/2026-08-03_57008578_DJIUSD_buy_loss/50_57008578_DJIUSD_buy_M1_close_2026-08-03-140409.png" TargetMode="External" Id="rId556" /><Relationship Type="http://schemas.openxmlformats.org/officeDocument/2006/relationships/hyperlink" Target="../Charts/3214929/DJIUSD/2026-08-03_57008578_DJIUSD_buy_loss/50_57008578_DJIUSD_buy_M1_journey_2026-08-03-140256.png" TargetMode="External" Id="rId557" /><Relationship Type="http://schemas.openxmlformats.org/officeDocument/2006/relationships/hyperlink" Target="../Charts/3214929/DJIUSD/2026-08-03_57008578_DJIUSD_buy_loss/50_57008578_DJIUSD_buy_M1_open_2026-08-03-140256.png" TargetMode="External" Id="rId558" /><Relationship Type="http://schemas.openxmlformats.org/officeDocument/2006/relationships/hyperlink" Target="../Charts/3214929/DJIUSD/2026-08-03_57019000_DJIUSD_buy_loss/10_57019000_DJIUSD_buy_H4_close_2026-08-03-142013.png" TargetMode="External" Id="rId559" /><Relationship Type="http://schemas.openxmlformats.org/officeDocument/2006/relationships/hyperlink" Target="../Charts/3214929/DJIUSD/2026-08-03_57019000_DJIUSD_buy_loss/20_57019000_DJIUSD_buy_H1_close_2026-08-03-142013.png" TargetMode="External" Id="rId560" /><Relationship Type="http://schemas.openxmlformats.org/officeDocument/2006/relationships/hyperlink" Target="../Charts/3214929/DJIUSD/2026-08-03_57019000_DJIUSD_buy_loss/30_57019000_DJIUSD_buy_M15_close_2026-08-03-142013.png" TargetMode="External" Id="rId561" /><Relationship Type="http://schemas.openxmlformats.org/officeDocument/2006/relationships/hyperlink" Target="../Charts/3214929/DJIUSD/2026-08-03_57019000_DJIUSD_buy_loss/30_57019000_DJIUSD_buy_M15_open_2026-08-03-141436.png" TargetMode="External" Id="rId562" /><Relationship Type="http://schemas.openxmlformats.org/officeDocument/2006/relationships/hyperlink" Target="../Charts/3214929/DJIUSD/2026-08-03_57019000_DJIUSD_buy_loss/40_57019000_DJIUSD_buy_M5_close_2026-08-03-142013.png" TargetMode="External" Id="rId563" /><Relationship Type="http://schemas.openxmlformats.org/officeDocument/2006/relationships/hyperlink" Target="../Charts/3214929/DJIUSD/2026-08-03_57019000_DJIUSD_buy_loss/40_57019000_DJIUSD_buy_M5_open_2026-08-03-141436.png" TargetMode="External" Id="rId564" /><Relationship Type="http://schemas.openxmlformats.org/officeDocument/2006/relationships/hyperlink" Target="../Charts/3214929/DJIUSD/2026-08-03_57019000_DJIUSD_buy_loss/50_57019000_DJIUSD_buy_M1_close_2026-08-03-142013.png" TargetMode="External" Id="rId565" /><Relationship Type="http://schemas.openxmlformats.org/officeDocument/2006/relationships/hyperlink" Target="../Charts/3214929/DJIUSD/2026-08-03_57019000_DJIUSD_buy_loss/50_57019000_DJIUSD_buy_M1_journey_2026-08-03-141436.png" TargetMode="External" Id="rId566" /><Relationship Type="http://schemas.openxmlformats.org/officeDocument/2006/relationships/hyperlink" Target="../Charts/3214929/DJIUSD/2026-08-03_57019000_DJIUSD_buy_loss/50_57019000_DJIUSD_buy_M1_open_2026-08-03-141436.png" TargetMode="External" Id="rId567" /><Relationship Type="http://schemas.openxmlformats.org/officeDocument/2006/relationships/hyperlink" Target="../Charts/3214929/XAUUSD/2026-08-03_57028737_XAUUSD_buy_loss/10_57028737_XAUUSD_buy_H4_close_2026-08-03-150613.png" TargetMode="External" Id="rId568" /><Relationship Type="http://schemas.openxmlformats.org/officeDocument/2006/relationships/hyperlink" Target="../Charts/3214929/XAUUSD/2026-08-03_57028737_XAUUSD_buy_loss/20_57028737_XAUUSD_buy_H1_close_2026-08-03-150613.png" TargetMode="External" Id="rId569" /><Relationship Type="http://schemas.openxmlformats.org/officeDocument/2006/relationships/hyperlink" Target="../Charts/3214929/XAUUSD/2026-08-03_57028737_XAUUSD_buy_loss/30_57028737_XAUUSD_buy_M15_close_2026-08-03-150613.png" TargetMode="External" Id="rId570" /><Relationship Type="http://schemas.openxmlformats.org/officeDocument/2006/relationships/hyperlink" Target="../Charts/3214929/XAUUSD/2026-08-03_57028737_XAUUSD_buy_loss/30_57028737_XAUUSD_buy_M15_open_2026-08-03-142827.png" TargetMode="External" Id="rId571" /><Relationship Type="http://schemas.openxmlformats.org/officeDocument/2006/relationships/hyperlink" Target="../Charts/3214929/XAUUSD/2026-08-03_57028737_XAUUSD_buy_loss/40_57028737_XAUUSD_buy_M5_close_2026-08-03-150613.png" TargetMode="External" Id="rId572" /><Relationship Type="http://schemas.openxmlformats.org/officeDocument/2006/relationships/hyperlink" Target="../Charts/3214929/XAUUSD/2026-08-03_57028737_XAUUSD_buy_loss/40_57028737_XAUUSD_buy_M5_open_2026-08-03-142827.png" TargetMode="External" Id="rId573" /><Relationship Type="http://schemas.openxmlformats.org/officeDocument/2006/relationships/hyperlink" Target="../Charts/3214929/XAUUSD/2026-08-03_57028737_XAUUSD_buy_loss/50_57028737_XAUUSD_buy_M1_close_2026-08-03-150613.png" TargetMode="External" Id="rId574" /><Relationship Type="http://schemas.openxmlformats.org/officeDocument/2006/relationships/hyperlink" Target="../Charts/3214929/XAUUSD/2026-08-03_57028737_XAUUSD_buy_loss/50_57028737_XAUUSD_buy_M1_journey_2026-08-03-142827.png" TargetMode="External" Id="rId575" /><Relationship Type="http://schemas.openxmlformats.org/officeDocument/2006/relationships/hyperlink" Target="../Charts/3214929/XAUUSD/2026-08-03_57028737_XAUUSD_buy_loss/50_57028737_XAUUSD_buy_M1_open_2026-08-03-142827.png" TargetMode="External" Id="rId576" /><Relationship Type="http://schemas.openxmlformats.org/officeDocument/2006/relationships/hyperlink" Target="../Charts/3214929/DAXEUR/2026-08-03_57056264_DAXEUR_buy_loss/10_57056264_DAXEUR_buy_H4_close_2026-08-03-152000.png" TargetMode="External" Id="rId577" /><Relationship Type="http://schemas.openxmlformats.org/officeDocument/2006/relationships/hyperlink" Target="../Charts/3214929/DAXEUR/2026-08-03_57056264_DAXEUR_buy_loss/20_57056264_DAXEUR_buy_H1_close_2026-08-03-152000.png" TargetMode="External" Id="rId578" /><Relationship Type="http://schemas.openxmlformats.org/officeDocument/2006/relationships/hyperlink" Target="../Charts/3214929/DAXEUR/2026-08-03_57056264_DAXEUR_buy_loss/30_57056264_DAXEUR_buy_M15_close_2026-08-03-152000.png" TargetMode="External" Id="rId579" /><Relationship Type="http://schemas.openxmlformats.org/officeDocument/2006/relationships/hyperlink" Target="../Charts/3214929/DAXEUR/2026-08-03_57056264_DAXEUR_buy_loss/30_57056264_DAXEUR_buy_M15_open_2026-08-03-151647.png" TargetMode="External" Id="rId580" /><Relationship Type="http://schemas.openxmlformats.org/officeDocument/2006/relationships/hyperlink" Target="../Charts/3214929/DAXEUR/2026-08-03_57056264_DAXEUR_buy_loss/40_57056264_DAXEUR_buy_M5_close_2026-08-03-152000.png" TargetMode="External" Id="rId581" /><Relationship Type="http://schemas.openxmlformats.org/officeDocument/2006/relationships/hyperlink" Target="../Charts/3214929/DAXEUR/2026-08-03_57056264_DAXEUR_buy_loss/40_57056264_DAXEUR_buy_M5_open_2026-08-03-151647.png" TargetMode="External" Id="rId582" /><Relationship Type="http://schemas.openxmlformats.org/officeDocument/2006/relationships/hyperlink" Target="../Charts/3214929/DAXEUR/2026-08-03_57056264_DAXEUR_buy_loss/50_57056264_DAXEUR_buy_M1_close_2026-08-03-152000.png" TargetMode="External" Id="rId583" /><Relationship Type="http://schemas.openxmlformats.org/officeDocument/2006/relationships/hyperlink" Target="../Charts/3214929/DAXEUR/2026-08-03_57056264_DAXEUR_buy_loss/50_57056264_DAXEUR_buy_M1_journey_2026-08-03-151647.png" TargetMode="External" Id="rId584" /><Relationship Type="http://schemas.openxmlformats.org/officeDocument/2006/relationships/hyperlink" Target="../Charts/3214929/DAXEUR/2026-08-03_57056264_DAXEUR_buy_loss/50_57056264_DAXEUR_buy_M1_open_2026-08-03-151647.png" TargetMode="External" Id="rId585" /><Relationship Type="http://schemas.openxmlformats.org/officeDocument/2006/relationships/hyperlink" Target="../Charts/3214929/DAXEUR/2026-08-03_57056600_DAXEUR_buy_win/10_57056600_DAXEUR_buy_H4_close_2026-08-03-152646.png" TargetMode="External" Id="rId586" /><Relationship Type="http://schemas.openxmlformats.org/officeDocument/2006/relationships/hyperlink" Target="../Charts/3214929/DAXEUR/2026-08-03_57056600_DAXEUR_buy_win/20_57056600_DAXEUR_buy_H1_close_2026-08-03-152646.png" TargetMode="External" Id="rId587" /><Relationship Type="http://schemas.openxmlformats.org/officeDocument/2006/relationships/hyperlink" Target="../Charts/3214929/DAXEUR/2026-08-03_57056600_DAXEUR_buy_win/30_57056600_DAXEUR_buy_M15_close_2026-08-03-152646.png" TargetMode="External" Id="rId588" /><Relationship Type="http://schemas.openxmlformats.org/officeDocument/2006/relationships/hyperlink" Target="../Charts/3214929/DAXEUR/2026-08-03_57056600_DAXEUR_buy_win/30_57056600_DAXEUR_buy_M15_open_2026-08-03-151737.png" TargetMode="External" Id="rId589" /><Relationship Type="http://schemas.openxmlformats.org/officeDocument/2006/relationships/hyperlink" Target="../Charts/3214929/DAXEUR/2026-08-03_57056600_DAXEUR_buy_win/40_57056600_DAXEUR_buy_M5_close_2026-08-03-152646.png" TargetMode="External" Id="rId590" /><Relationship Type="http://schemas.openxmlformats.org/officeDocument/2006/relationships/hyperlink" Target="../Charts/3214929/DAXEUR/2026-08-03_57056600_DAXEUR_buy_win/40_57056600_DAXEUR_buy_M5_open_2026-08-03-151737.png" TargetMode="External" Id="rId591" /><Relationship Type="http://schemas.openxmlformats.org/officeDocument/2006/relationships/hyperlink" Target="../Charts/3214929/DAXEUR/2026-08-03_57056600_DAXEUR_buy_win/50_57056600_DAXEUR_buy_M1_close_2026-08-03-152646.png" TargetMode="External" Id="rId592" /><Relationship Type="http://schemas.openxmlformats.org/officeDocument/2006/relationships/hyperlink" Target="../Charts/3214929/DAXEUR/2026-08-03_57056600_DAXEUR_buy_win/50_57056600_DAXEUR_buy_M1_journey_2026-08-03-151737.png" TargetMode="External" Id="rId593" /><Relationship Type="http://schemas.openxmlformats.org/officeDocument/2006/relationships/hyperlink" Target="../Charts/3214929/DAXEUR/2026-08-03_57056600_DAXEUR_buy_win/50_57056600_DAXEUR_buy_M1_open_2026-08-03-151737.png" TargetMode="External" Id="rId594" /><Relationship Type="http://schemas.openxmlformats.org/officeDocument/2006/relationships/hyperlink" Target="../Charts/3214929/DJIUSD/2026-08-03_57064381_DJIUSD_sell_win/10_57064381_DJIUSD_sell_H4_close_2026-08-03-155542.png" TargetMode="External" Id="rId595" /><Relationship Type="http://schemas.openxmlformats.org/officeDocument/2006/relationships/hyperlink" Target="../Charts/3214929/DJIUSD/2026-08-03_57064381_DJIUSD_sell_win/20_57064381_DJIUSD_sell_H1_close_2026-08-03-155542.png" TargetMode="External" Id="rId596" /><Relationship Type="http://schemas.openxmlformats.org/officeDocument/2006/relationships/hyperlink" Target="../Charts/3214929/DJIUSD/2026-08-03_57064381_DJIUSD_sell_win/30_57064381_DJIUSD_sell_M15_close_2026-08-03-155542.png" TargetMode="External" Id="rId597" /><Relationship Type="http://schemas.openxmlformats.org/officeDocument/2006/relationships/hyperlink" Target="../Charts/3214929/DJIUSD/2026-08-03_57064381_DJIUSD_sell_win/30_57064381_DJIUSD_sell_M15_open_2026-08-03-154103.png" TargetMode="External" Id="rId598" /><Relationship Type="http://schemas.openxmlformats.org/officeDocument/2006/relationships/hyperlink" Target="../Charts/3214929/DJIUSD/2026-08-03_57064381_DJIUSD_sell_win/40_57064381_DJIUSD_sell_M5_close_2026-08-03-155542.png" TargetMode="External" Id="rId599" /><Relationship Type="http://schemas.openxmlformats.org/officeDocument/2006/relationships/hyperlink" Target="../Charts/3214929/DJIUSD/2026-08-03_57064381_DJIUSD_sell_win/40_57064381_DJIUSD_sell_M5_open_2026-08-03-154103.png" TargetMode="External" Id="rId600" /><Relationship Type="http://schemas.openxmlformats.org/officeDocument/2006/relationships/hyperlink" Target="../Charts/3214929/DJIUSD/2026-08-03_57064381_DJIUSD_sell_win/50_57064381_DJIUSD_sell_M1_close_2026-08-03-155542.png" TargetMode="External" Id="rId601" /><Relationship Type="http://schemas.openxmlformats.org/officeDocument/2006/relationships/hyperlink" Target="../Charts/3214929/DJIUSD/2026-08-03_57064381_DJIUSD_sell_win/50_57064381_DJIUSD_sell_M1_journey_2026-08-03-154103.png" TargetMode="External" Id="rId602" /><Relationship Type="http://schemas.openxmlformats.org/officeDocument/2006/relationships/hyperlink" Target="../Charts/3214929/DJIUSD/2026-08-03_57064381_DJIUSD_sell_win/50_57064381_DJIUSD_sell_M1_open_2026-08-03-154103.png" TargetMode="External" Id="rId603" /><Relationship Type="http://schemas.openxmlformats.org/officeDocument/2006/relationships/hyperlink" Target="../Charts/3214929/NDXUSD/2026-08-03_57062642_NDXUSD_sell_loss/10_57062642_NDXUSD_sell_H4_close_2026-08-03-161632.png" TargetMode="External" Id="rId604" /><Relationship Type="http://schemas.openxmlformats.org/officeDocument/2006/relationships/hyperlink" Target="../Charts/3214929/NDXUSD/2026-08-03_57062642_NDXUSD_sell_loss/20_57062642_NDXUSD_sell_H1_close_2026-08-03-161632.png" TargetMode="External" Id="rId605" /><Relationship Type="http://schemas.openxmlformats.org/officeDocument/2006/relationships/hyperlink" Target="../Charts/3214929/NDXUSD/2026-08-03_57062642_NDXUSD_sell_loss/30_57062642_NDXUSD_sell_M15_close_2026-08-03-161632.png" TargetMode="External" Id="rId606" /><Relationship Type="http://schemas.openxmlformats.org/officeDocument/2006/relationships/hyperlink" Target="../Charts/3214929/NDXUSD/2026-08-03_57062642_NDXUSD_sell_loss/30_57062642_NDXUSD_sell_M15_open_2026-08-03-153449.png" TargetMode="External" Id="rId607" /><Relationship Type="http://schemas.openxmlformats.org/officeDocument/2006/relationships/hyperlink" Target="../Charts/3214929/NDXUSD/2026-08-03_57062642_NDXUSD_sell_loss/40_57062642_NDXUSD_sell_M5_close_2026-08-03-161632.png" TargetMode="External" Id="rId608" /><Relationship Type="http://schemas.openxmlformats.org/officeDocument/2006/relationships/hyperlink" Target="../Charts/3214929/NDXUSD/2026-08-03_57062642_NDXUSD_sell_loss/40_57062642_NDXUSD_sell_M5_open_2026-08-03-153449.png" TargetMode="External" Id="rId609" /><Relationship Type="http://schemas.openxmlformats.org/officeDocument/2006/relationships/hyperlink" Target="../Charts/3214929/NDXUSD/2026-08-03_57062642_NDXUSD_sell_loss/50_57062642_NDXUSD_sell_M1_close_2026-08-03-161632.png" TargetMode="External" Id="rId610" /><Relationship Type="http://schemas.openxmlformats.org/officeDocument/2006/relationships/hyperlink" Target="../Charts/3214929/NDXUSD/2026-08-03_57062642_NDXUSD_sell_loss/50_57062642_NDXUSD_sell_M1_journey_2026-08-03-153449.png" TargetMode="External" Id="rId611" /><Relationship Type="http://schemas.openxmlformats.org/officeDocument/2006/relationships/hyperlink" Target="../Charts/3214929/NDXUSD/2026-08-03_57062642_NDXUSD_sell_loss/50_57062642_NDXUSD_sell_M1_open_2026-08-03-153449.png" TargetMode="External" Id="rId612" /><Relationship Type="http://schemas.openxmlformats.org/officeDocument/2006/relationships/hyperlink" Target="../Charts/3214929/DJIUSD/2026-08-03_57073391_DJIUSD_sell_loss/10_57073391_DJIUSD_sell_H4_close_2026-08-03-174309.png" TargetMode="External" Id="rId613" /><Relationship Type="http://schemas.openxmlformats.org/officeDocument/2006/relationships/hyperlink" Target="../Charts/3214929/DJIUSD/2026-08-03_57073391_DJIUSD_sell_loss/20_57073391_DJIUSD_sell_H1_close_2026-08-03-174309.png" TargetMode="External" Id="rId614" /><Relationship Type="http://schemas.openxmlformats.org/officeDocument/2006/relationships/hyperlink" Target="../Charts/3214929/DJIUSD/2026-08-03_57073391_DJIUSD_sell_loss/30_57073391_DJIUSD_sell_M15_close_2026-08-03-174309.png" TargetMode="External" Id="rId615" /><Relationship Type="http://schemas.openxmlformats.org/officeDocument/2006/relationships/hyperlink" Target="../Charts/3214929/DJIUSD/2026-08-03_57073391_DJIUSD_sell_loss/30_57073391_DJIUSD_sell_M15_open_2026-08-03-160534.png" TargetMode="External" Id="rId616" /><Relationship Type="http://schemas.openxmlformats.org/officeDocument/2006/relationships/hyperlink" Target="../Charts/3214929/DJIUSD/2026-08-03_57073391_DJIUSD_sell_loss/40_57073391_DJIUSD_sell_M5_close_2026-08-03-174309.png" TargetMode="External" Id="rId617" /><Relationship Type="http://schemas.openxmlformats.org/officeDocument/2006/relationships/hyperlink" Target="../Charts/3214929/DJIUSD/2026-08-03_57073391_DJIUSD_sell_loss/40_57073391_DJIUSD_sell_M5_open_2026-08-03-160534.png" TargetMode="External" Id="rId618" /><Relationship Type="http://schemas.openxmlformats.org/officeDocument/2006/relationships/hyperlink" Target="../Charts/3214929/DJIUSD/2026-08-03_57073391_DJIUSD_sell_loss/50_57073391_DJIUSD_sell_M1_close_2026-08-03-174309.png" TargetMode="External" Id="rId619" /><Relationship Type="http://schemas.openxmlformats.org/officeDocument/2006/relationships/hyperlink" Target="../Charts/3214929/DJIUSD/2026-08-03_57073391_DJIUSD_sell_loss/50_57073391_DJIUSD_sell_M1_journey_2026-08-03-160534.png" TargetMode="External" Id="rId620" /><Relationship Type="http://schemas.openxmlformats.org/officeDocument/2006/relationships/hyperlink" Target="../Charts/3214929/DJIUSD/2026-08-03_57073391_DJIUSD_sell_loss/50_57073391_DJIUSD_sell_M1_open_2026-08-03-160534.png" TargetMode="External" Id="rId621" /><Relationship Type="http://schemas.openxmlformats.org/officeDocument/2006/relationships/hyperlink" Target="../Charts/3214929/DJIUSD/2026-08-03_57103528_DJIUSD_buy_loss/10_57103528_DJIUSD_buy_H4_close_2026-08-03-183355.png" TargetMode="External" Id="rId622" /><Relationship Type="http://schemas.openxmlformats.org/officeDocument/2006/relationships/hyperlink" Target="../Charts/3214929/DJIUSD/2026-08-03_57103528_DJIUSD_buy_loss/20_57103528_DJIUSD_buy_H1_close_2026-08-03-183355.png" TargetMode="External" Id="rId623" /><Relationship Type="http://schemas.openxmlformats.org/officeDocument/2006/relationships/hyperlink" Target="../Charts/3214929/DJIUSD/2026-08-03_57103528_DJIUSD_buy_loss/30_57103528_DJIUSD_buy_M15_close_2026-08-03-183355.png" TargetMode="External" Id="rId624" /><Relationship Type="http://schemas.openxmlformats.org/officeDocument/2006/relationships/hyperlink" Target="../Charts/3214929/DJIUSD/2026-08-03_57103528_DJIUSD_buy_loss/30_57103528_DJIUSD_buy_M15_open_2026-08-03-182839.png" TargetMode="External" Id="rId625" /><Relationship Type="http://schemas.openxmlformats.org/officeDocument/2006/relationships/hyperlink" Target="../Charts/3214929/DJIUSD/2026-08-03_57103528_DJIUSD_buy_loss/40_57103528_DJIUSD_buy_M5_close_2026-08-03-183355.png" TargetMode="External" Id="rId626" /><Relationship Type="http://schemas.openxmlformats.org/officeDocument/2006/relationships/hyperlink" Target="../Charts/3214929/DJIUSD/2026-08-03_57103528_DJIUSD_buy_loss/40_57103528_DJIUSD_buy_M5_open_2026-08-03-182839.png" TargetMode="External" Id="rId627" /><Relationship Type="http://schemas.openxmlformats.org/officeDocument/2006/relationships/hyperlink" Target="../Charts/3214929/DJIUSD/2026-08-03_57103528_DJIUSD_buy_loss/50_57103528_DJIUSD_buy_M1_close_2026-08-03-183355.png" TargetMode="External" Id="rId628" /><Relationship Type="http://schemas.openxmlformats.org/officeDocument/2006/relationships/hyperlink" Target="../Charts/3214929/DJIUSD/2026-08-03_57103528_DJIUSD_buy_loss/50_57103528_DJIUSD_buy_M1_journey_2026-08-03-182839.png" TargetMode="External" Id="rId629" /><Relationship Type="http://schemas.openxmlformats.org/officeDocument/2006/relationships/hyperlink" Target="../Charts/3214929/DJIUSD/2026-08-03_57103528_DJIUSD_buy_loss/50_57103528_DJIUSD_buy_M1_open_2026-08-03-182839.png" TargetMode="External" Id="rId630" /><Relationship Type="http://schemas.openxmlformats.org/officeDocument/2006/relationships/hyperlink" Target="../Charts/3214929/DAXEUR/2026-08-04_57182957_DAXEUR_buy_win/10_57182957_DAXEUR_buy_H4_close_2026-08-04-072813.png" TargetMode="External" Id="rId631" /><Relationship Type="http://schemas.openxmlformats.org/officeDocument/2006/relationships/hyperlink" Target="../Charts/3214929/DAXEUR/2026-08-04_57182957_DAXEUR_buy_win/20_57182957_DAXEUR_buy_H1_close_2026-08-04-072813.png" TargetMode="External" Id="rId632" /><Relationship Type="http://schemas.openxmlformats.org/officeDocument/2006/relationships/hyperlink" Target="../Charts/3214929/DAXEUR/2026-08-04_57182957_DAXEUR_buy_win/30_57182957_DAXEUR_buy_M15_close_2026-08-04-072813.png" TargetMode="External" Id="rId633" /><Relationship Type="http://schemas.openxmlformats.org/officeDocument/2006/relationships/hyperlink" Target="../Charts/3214929/DAXEUR/2026-08-04_57182957_DAXEUR_buy_win/30_57182957_DAXEUR_buy_M15_open_2026-08-04-072215.png" TargetMode="External" Id="rId634" /><Relationship Type="http://schemas.openxmlformats.org/officeDocument/2006/relationships/hyperlink" Target="../Charts/3214929/DAXEUR/2026-08-04_57182957_DAXEUR_buy_win/40_57182957_DAXEUR_buy_M5_close_2026-08-04-072813.png" TargetMode="External" Id="rId635" /><Relationship Type="http://schemas.openxmlformats.org/officeDocument/2006/relationships/hyperlink" Target="../Charts/3214929/DAXEUR/2026-08-04_57182957_DAXEUR_buy_win/40_57182957_DAXEUR_buy_M5_open_2026-08-04-072215.png" TargetMode="External" Id="rId636" /><Relationship Type="http://schemas.openxmlformats.org/officeDocument/2006/relationships/hyperlink" Target="../Charts/3214929/DAXEUR/2026-08-04_57182957_DAXEUR_buy_win/50_57182957_DAXEUR_buy_M1_close_2026-08-04-072813.png" TargetMode="External" Id="rId637" /><Relationship Type="http://schemas.openxmlformats.org/officeDocument/2006/relationships/hyperlink" Target="../Charts/3214929/DAXEUR/2026-08-04_57182957_DAXEUR_buy_win/50_57182957_DAXEUR_buy_M1_journey_2026-08-04-072215.png" TargetMode="External" Id="rId638" /><Relationship Type="http://schemas.openxmlformats.org/officeDocument/2006/relationships/hyperlink" Target="../Charts/3214929/DAXEUR/2026-08-04_57182957_DAXEUR_buy_win/50_57182957_DAXEUR_buy_M1_open_2026-08-04-072215.png" TargetMode="External" Id="rId639" /><Relationship Type="http://schemas.openxmlformats.org/officeDocument/2006/relationships/hyperlink" Target="../Charts/3214929/DAXEUR/2026-08-04_57182998_DAXEUR_buy_win/10_57182998_DAXEUR_buy_H4_close_2026-08-04-072817.png" TargetMode="External" Id="rId640" /><Relationship Type="http://schemas.openxmlformats.org/officeDocument/2006/relationships/hyperlink" Target="../Charts/3214929/DAXEUR/2026-08-04_57182998_DAXEUR_buy_win/20_57182998_DAXEUR_buy_H1_close_2026-08-04-072817.png" TargetMode="External" Id="rId641" /><Relationship Type="http://schemas.openxmlformats.org/officeDocument/2006/relationships/hyperlink" Target="../Charts/3214929/DAXEUR/2026-08-04_57182998_DAXEUR_buy_win/30_57182998_DAXEUR_buy_M15_close_2026-08-04-072817.png" TargetMode="External" Id="rId642" /><Relationship Type="http://schemas.openxmlformats.org/officeDocument/2006/relationships/hyperlink" Target="../Charts/3214929/DAXEUR/2026-08-04_57182998_DAXEUR_buy_win/30_57182998_DAXEUR_buy_M15_open_2026-08-04-072224.png" TargetMode="External" Id="rId643" /><Relationship Type="http://schemas.openxmlformats.org/officeDocument/2006/relationships/hyperlink" Target="../Charts/3214929/DAXEUR/2026-08-04_57182998_DAXEUR_buy_win/40_57182998_DAXEUR_buy_M5_close_2026-08-04-072817.png" TargetMode="External" Id="rId644" /><Relationship Type="http://schemas.openxmlformats.org/officeDocument/2006/relationships/hyperlink" Target="../Charts/3214929/DAXEUR/2026-08-04_57182998_DAXEUR_buy_win/40_57182998_DAXEUR_buy_M5_open_2026-08-04-072224.png" TargetMode="External" Id="rId645" /><Relationship Type="http://schemas.openxmlformats.org/officeDocument/2006/relationships/hyperlink" Target="../Charts/3214929/DAXEUR/2026-08-04_57182998_DAXEUR_buy_win/50_57182998_DAXEUR_buy_M1_close_2026-08-04-072817.png" TargetMode="External" Id="rId646" /><Relationship Type="http://schemas.openxmlformats.org/officeDocument/2006/relationships/hyperlink" Target="../Charts/3214929/DAXEUR/2026-08-04_57182998_DAXEUR_buy_win/50_57182998_DAXEUR_buy_M1_journey_2026-08-04-072224.png" TargetMode="External" Id="rId647" /><Relationship Type="http://schemas.openxmlformats.org/officeDocument/2006/relationships/hyperlink" Target="../Charts/3214929/DAXEUR/2026-08-04_57182998_DAXEUR_buy_win/50_57182998_DAXEUR_buy_M1_open_2026-08-04-072224.png" TargetMode="External" Id="rId648" /><Relationship Type="http://schemas.openxmlformats.org/officeDocument/2006/relationships/hyperlink" Target="../Charts/3214929/DAXEUR/2026-08-04_57186051_DAXEUR_sell_win/10_57186051_DAXEUR_sell_H4_close_2026-08-04-074400.png" TargetMode="External" Id="rId649" /><Relationship Type="http://schemas.openxmlformats.org/officeDocument/2006/relationships/hyperlink" Target="../Charts/3214929/DAXEUR/2026-08-04_57186051_DAXEUR_sell_win/20_57186051_DAXEUR_sell_H1_close_2026-08-04-074400.png" TargetMode="External" Id="rId650" /><Relationship Type="http://schemas.openxmlformats.org/officeDocument/2006/relationships/hyperlink" Target="../Charts/3214929/DAXEUR/2026-08-04_57186051_DAXEUR_sell_win/30_57186051_DAXEUR_sell_M15_close_2026-08-04-074400.png" TargetMode="External" Id="rId651" /><Relationship Type="http://schemas.openxmlformats.org/officeDocument/2006/relationships/hyperlink" Target="../Charts/3214929/DAXEUR/2026-08-04_57186051_DAXEUR_sell_win/30_57186051_DAXEUR_sell_M15_open_2026-08-04-073326.png" TargetMode="External" Id="rId652" /><Relationship Type="http://schemas.openxmlformats.org/officeDocument/2006/relationships/hyperlink" Target="../Charts/3214929/DAXEUR/2026-08-04_57186051_DAXEUR_sell_win/40_57186051_DAXEUR_sell_M5_close_2026-08-04-074400.png" TargetMode="External" Id="rId653" /><Relationship Type="http://schemas.openxmlformats.org/officeDocument/2006/relationships/hyperlink" Target="../Charts/3214929/DAXEUR/2026-08-04_57186051_DAXEUR_sell_win/40_57186051_DAXEUR_sell_M5_open_2026-08-04-073326.png" TargetMode="External" Id="rId654" /><Relationship Type="http://schemas.openxmlformats.org/officeDocument/2006/relationships/hyperlink" Target="../Charts/3214929/DAXEUR/2026-08-04_57186051_DAXEUR_sell_win/50_57186051_DAXEUR_sell_M1_close_2026-08-04-074400.png" TargetMode="External" Id="rId655" /><Relationship Type="http://schemas.openxmlformats.org/officeDocument/2006/relationships/hyperlink" Target="../Charts/3214929/DAXEUR/2026-08-04_57186051_DAXEUR_sell_win/50_57186051_DAXEUR_sell_M1_journey_2026-08-04-073326.png" TargetMode="External" Id="rId656" /><Relationship Type="http://schemas.openxmlformats.org/officeDocument/2006/relationships/hyperlink" Target="../Charts/3214929/DAXEUR/2026-08-04_57186051_DAXEUR_sell_win/50_57186051_DAXEUR_sell_M1_open_2026-08-04-073326.png" TargetMode="External" Id="rId657" /><Relationship Type="http://schemas.openxmlformats.org/officeDocument/2006/relationships/table" Target="/xl/tables/table2.xml" Id="rId658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73"/>
  <sheetViews>
    <sheetView showGridLines="0" workbookViewId="0">
      <selection activeCell="A1" sqref="A1"/>
    </sheetView>
  </sheetViews>
  <sheetFormatPr baseColWidth="8" defaultRowHeight="15"/>
  <cols>
    <col width="11.5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hidden="1" width="14" customWidth="1" min="22" max="22"/>
    <col hidden="1" width="14" customWidth="1" min="23" max="23"/>
  </cols>
  <sheetData>
    <row r="1" ht="34" customHeight="1">
      <c r="A1" s="1" t="inlineStr">
        <is>
          <t>MT5 Position Studio — Mentorship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18" customHeight="1">
      <c r="A2" s="3" t="inlineStr">
        <is>
          <t>Account 3214929 · SarmayeGozareBartar-Real · USD · 73 closed trades · generated 12 Aug 2026 10:36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5">
      <c r="A5" s="4" t="inlineStr">
        <is>
          <t>Performance</t>
        </is>
      </c>
    </row>
    <row r="6" ht="15" customHeight="1">
      <c r="A6" s="5" t="inlineStr">
        <is>
          <t>NET PROFIT</t>
        </is>
      </c>
      <c r="B6" s="6" t="n"/>
      <c r="C6" s="6" t="n"/>
      <c r="D6" s="5" t="inlineStr">
        <is>
          <t>RETURN</t>
        </is>
      </c>
      <c r="E6" s="6" t="n"/>
      <c r="F6" s="6" t="n"/>
      <c r="G6" s="5" t="inlineStr">
        <is>
          <t>WIN RATE</t>
        </is>
      </c>
      <c r="H6" s="6" t="n"/>
      <c r="I6" s="6" t="n"/>
      <c r="J6" s="5" t="inlineStr">
        <is>
          <t>PROFIT FACTOR</t>
        </is>
      </c>
      <c r="K6" s="6" t="n"/>
      <c r="L6" s="6" t="n"/>
      <c r="M6" s="5" t="inlineStr">
        <is>
          <t>EXPECTANCY</t>
        </is>
      </c>
      <c r="N6" s="6" t="n"/>
      <c r="O6" s="6" t="n"/>
    </row>
    <row r="7" ht="26" customHeight="1">
      <c r="A7" s="7" t="n">
        <v>100.81</v>
      </c>
      <c r="B7" s="8" t="n"/>
      <c r="C7" s="9" t="n"/>
      <c r="D7" s="10" t="n">
        <v>10.08</v>
      </c>
      <c r="E7" s="8" t="n"/>
      <c r="F7" s="9" t="n"/>
      <c r="G7" s="11" t="n">
        <v>31.51</v>
      </c>
      <c r="H7" s="8" t="n"/>
      <c r="I7" s="9" t="n"/>
      <c r="J7" s="12" t="n">
        <v>1.343</v>
      </c>
      <c r="K7" s="8" t="n"/>
      <c r="L7" s="9" t="n"/>
      <c r="M7" s="7" t="n">
        <v>1.381</v>
      </c>
      <c r="N7" s="8" t="n"/>
      <c r="O7" s="9" t="n"/>
    </row>
    <row r="8" ht="13" customHeight="1">
      <c r="A8" s="13" t="inlineStr">
        <is>
          <t>USD · gross 394.87</t>
        </is>
      </c>
      <c r="B8" s="14" t="n"/>
      <c r="C8" s="14" t="n"/>
      <c r="D8" s="13" t="inlineStr">
        <is>
          <t>on 1000.0 start</t>
        </is>
      </c>
      <c r="E8" s="14" t="n"/>
      <c r="F8" s="14" t="n"/>
      <c r="G8" s="13" t="inlineStr">
        <is>
          <t>23W / 49L</t>
        </is>
      </c>
      <c r="H8" s="14" t="n"/>
      <c r="I8" s="14" t="n"/>
      <c r="J8" s="13" t="inlineStr">
        <is>
          <t>gross win ÷ gross loss</t>
        </is>
      </c>
      <c r="K8" s="14" t="n"/>
      <c r="L8" s="14" t="n"/>
      <c r="M8" s="13" t="inlineStr">
        <is>
          <t>per trade · 0.225R</t>
        </is>
      </c>
      <c r="N8" s="14" t="n"/>
      <c r="O8" s="14" t="n"/>
    </row>
    <row r="10">
      <c r="A10" s="4" t="inlineStr">
        <is>
          <t>Risk</t>
        </is>
      </c>
    </row>
    <row r="11" ht="15" customHeight="1">
      <c r="A11" s="5" t="inlineStr">
        <is>
          <t>MAX DRAWDOWN</t>
        </is>
      </c>
      <c r="B11" s="6" t="n"/>
      <c r="C11" s="6" t="n"/>
      <c r="D11" s="5" t="inlineStr">
        <is>
          <t>RECOVERY FACTOR</t>
        </is>
      </c>
      <c r="E11" s="6" t="n"/>
      <c r="F11" s="6" t="n"/>
      <c r="G11" s="5" t="inlineStr">
        <is>
          <t>PAYOFF RATIO</t>
        </is>
      </c>
      <c r="H11" s="6" t="n"/>
      <c r="I11" s="6" t="n"/>
      <c r="J11" s="5" t="inlineStr">
        <is>
          <t>SQN</t>
        </is>
      </c>
      <c r="K11" s="6" t="n"/>
      <c r="L11" s="6" t="n"/>
      <c r="M11" s="5" t="inlineStr">
        <is>
          <t>WORST STREAK</t>
        </is>
      </c>
      <c r="N11" s="6" t="n"/>
      <c r="O11" s="6" t="n"/>
    </row>
    <row r="12" ht="26" customHeight="1">
      <c r="A12" s="15" t="n">
        <v>-84.51000000000001</v>
      </c>
      <c r="B12" s="8" t="n"/>
      <c r="C12" s="9" t="n"/>
      <c r="D12" s="16" t="n">
        <v>1.193</v>
      </c>
      <c r="E12" s="8" t="n"/>
      <c r="F12" s="9" t="n"/>
      <c r="G12" s="16" t="n">
        <v>2.861</v>
      </c>
      <c r="H12" s="8" t="n"/>
      <c r="I12" s="9" t="n"/>
      <c r="J12" s="16" t="n">
        <v>0.86</v>
      </c>
      <c r="K12" s="8" t="n"/>
      <c r="L12" s="9" t="n"/>
      <c r="M12" s="17" t="n">
        <v>6</v>
      </c>
      <c r="N12" s="8" t="n"/>
      <c r="O12" s="9" t="n"/>
    </row>
    <row r="13" ht="13" customHeight="1">
      <c r="A13" s="13" t="inlineStr">
        <is>
          <t>8.2% of peak</t>
        </is>
      </c>
      <c r="B13" s="14" t="n"/>
      <c r="C13" s="14" t="n"/>
      <c r="D13" s="13" t="inlineStr">
        <is>
          <t>net ÷ max drawdown</t>
        </is>
      </c>
      <c r="E13" s="14" t="n"/>
      <c r="F13" s="14" t="n"/>
      <c r="G13" s="13" t="inlineStr">
        <is>
          <t>avg win ÷ avg loss</t>
        </is>
      </c>
      <c r="H13" s="14" t="n"/>
      <c r="I13" s="14" t="n"/>
      <c r="J13" s="13" t="inlineStr">
        <is>
          <t>Below average</t>
        </is>
      </c>
      <c r="K13" s="14" t="n"/>
      <c r="L13" s="14" t="n"/>
      <c r="M13" s="13" t="inlineStr">
        <is>
          <t>best 3 · -54.4 deepest run</t>
        </is>
      </c>
      <c r="N13" s="14" t="n"/>
      <c r="O13" s="14" t="n"/>
    </row>
    <row r="15">
      <c r="A15" s="4" t="inlineStr">
        <is>
          <t>Trade management</t>
        </is>
      </c>
    </row>
    <row r="16" ht="15" customHeight="1">
      <c r="A16" s="5" t="inlineStr">
        <is>
          <t>AVG MFE</t>
        </is>
      </c>
      <c r="B16" s="6" t="n"/>
      <c r="C16" s="6" t="n"/>
      <c r="D16" s="5" t="inlineStr">
        <is>
          <t>AVG MAE</t>
        </is>
      </c>
      <c r="E16" s="6" t="n"/>
      <c r="F16" s="6" t="n"/>
      <c r="G16" s="5" t="inlineStr">
        <is>
          <t>WINNER CAPTURE</t>
        </is>
      </c>
      <c r="H16" s="6" t="n"/>
      <c r="I16" s="6" t="n"/>
      <c r="J16" s="5" t="inlineStr">
        <is>
          <t>MEDIAN HEAT</t>
        </is>
      </c>
      <c r="K16" s="6" t="n"/>
      <c r="L16" s="6" t="n"/>
      <c r="M16" s="5" t="inlineStr">
        <is>
          <t>GAVE BACK</t>
        </is>
      </c>
      <c r="N16" s="6" t="n"/>
      <c r="O16" s="6" t="n"/>
    </row>
    <row r="17" ht="26" customHeight="1">
      <c r="A17" s="18" t="n">
        <v>8.68</v>
      </c>
      <c r="B17" s="8" t="n"/>
      <c r="C17" s="9" t="n"/>
      <c r="D17" s="15" t="n">
        <v>-5.76</v>
      </c>
      <c r="E17" s="8" t="n"/>
      <c r="F17" s="9" t="n"/>
      <c r="G17" s="16" t="n">
        <v>0.9330000000000001</v>
      </c>
      <c r="H17" s="8" t="n"/>
      <c r="I17" s="9" t="n"/>
      <c r="J17" s="11" t="n">
        <v>101.5</v>
      </c>
      <c r="K17" s="8" t="n"/>
      <c r="L17" s="9" t="n"/>
      <c r="M17" s="19" t="n">
        <v>25</v>
      </c>
      <c r="N17" s="8" t="n"/>
      <c r="O17" s="9" t="n"/>
    </row>
    <row r="18" ht="13" customHeight="1">
      <c r="A18" s="13" t="inlineStr">
        <is>
          <t>money offered</t>
        </is>
      </c>
      <c r="B18" s="14" t="n"/>
      <c r="C18" s="14" t="n"/>
      <c r="D18" s="13" t="inlineStr">
        <is>
          <t>heat taken</t>
        </is>
      </c>
      <c r="E18" s="14" t="n"/>
      <c r="F18" s="14" t="n"/>
      <c r="G18" s="13" t="inlineStr">
        <is>
          <t>median 0.988</t>
        </is>
      </c>
      <c r="H18" s="14" t="n"/>
      <c r="I18" s="14" t="n"/>
      <c r="J18" s="13" t="inlineStr">
        <is>
          <t>p90 167.0%</t>
        </is>
      </c>
      <c r="K18" s="14" t="n"/>
      <c r="L18" s="14" t="n"/>
      <c r="M18" s="13" t="inlineStr">
        <is>
          <t>51.0% of losers reached 0.5R</t>
        </is>
      </c>
      <c r="N18" s="14" t="n"/>
      <c r="O18" s="14" t="n"/>
    </row>
    <row r="20">
      <c r="A20" s="4" t="inlineStr">
        <is>
          <t>Duration</t>
        </is>
      </c>
    </row>
    <row r="21" ht="15" customHeight="1">
      <c r="A21" s="5" t="inlineStr">
        <is>
          <t>AVG DURATION</t>
        </is>
      </c>
      <c r="B21" s="6" t="n"/>
      <c r="C21" s="6" t="n"/>
      <c r="D21" s="5" t="inlineStr">
        <is>
          <t>MEDIAN DURATION</t>
        </is>
      </c>
      <c r="E21" s="6" t="n"/>
      <c r="F21" s="6" t="n"/>
      <c r="G21" s="5" t="inlineStr">
        <is>
          <t>AVG RISK</t>
        </is>
      </c>
      <c r="H21" s="6" t="n"/>
      <c r="I21" s="6" t="n"/>
      <c r="J21" s="5" t="inlineStr">
        <is>
          <t>RISK CONSISTENCY</t>
        </is>
      </c>
      <c r="K21" s="6" t="n"/>
      <c r="L21" s="6" t="n"/>
      <c r="M21" s="5" t="inlineStr">
        <is>
          <t>PLANNED RR</t>
        </is>
      </c>
      <c r="N21" s="6" t="n"/>
      <c r="O21" s="6" t="n"/>
    </row>
    <row r="22" ht="26" customHeight="1">
      <c r="A22" s="20" t="inlineStr">
        <is>
          <t>18m</t>
        </is>
      </c>
      <c r="B22" s="8" t="n"/>
      <c r="C22" s="9" t="n"/>
      <c r="D22" s="20" t="inlineStr">
        <is>
          <t>10m</t>
        </is>
      </c>
      <c r="E22" s="8" t="n"/>
      <c r="F22" s="9" t="n"/>
      <c r="G22" s="21" t="n">
        <v>5.92</v>
      </c>
      <c r="H22" s="8" t="n"/>
      <c r="I22" s="9" t="n"/>
      <c r="J22" s="16" t="n">
        <v>0.408</v>
      </c>
      <c r="K22" s="8" t="n"/>
      <c r="L22" s="9" t="n"/>
      <c r="M22" s="16" t="n">
        <v>1.52</v>
      </c>
      <c r="N22" s="8" t="n"/>
      <c r="O22" s="9" t="n"/>
    </row>
    <row r="23" ht="13" customHeight="1">
      <c r="A23" s="13" t="inlineStr">
        <is>
          <t>1105.6 seconds</t>
        </is>
      </c>
      <c r="B23" s="14" t="n"/>
      <c r="C23" s="14" t="n"/>
      <c r="D23" s="13" t="inlineStr">
        <is>
          <t>half the trades are shorter</t>
        </is>
      </c>
      <c r="E23" s="14" t="n"/>
      <c r="F23" s="14" t="n"/>
      <c r="G23" s="13" t="inlineStr">
        <is>
          <t>0.59% of balance</t>
        </is>
      </c>
      <c r="H23" s="14" t="n"/>
      <c r="I23" s="14" t="n"/>
      <c r="J23" s="13" t="inlineStr">
        <is>
          <t>stdev ÷ mean · lower is steadier</t>
        </is>
      </c>
      <c r="K23" s="14" t="n"/>
      <c r="L23" s="14" t="n"/>
      <c r="M23" s="13" t="inlineStr">
        <is>
          <t>realised 0.225R</t>
        </is>
      </c>
      <c r="N23" s="14" t="n"/>
      <c r="O23" s="14" t="n"/>
    </row>
    <row r="25">
      <c r="A25" s="4" t="inlineStr">
        <is>
          <t>Equity curve · balance in USD</t>
        </is>
      </c>
      <c r="K25" s="4" t="inlineStr">
        <is>
          <t>Outcome split</t>
        </is>
      </c>
      <c r="V25" s="22" t="inlineStr">
        <is>
          <t>Outcome</t>
        </is>
      </c>
      <c r="W25" s="22" t="inlineStr">
        <is>
          <t>Trades</t>
        </is>
      </c>
    </row>
    <row r="26">
      <c r="V26" s="23" t="inlineStr">
        <is>
          <t>Wins</t>
        </is>
      </c>
      <c r="W26" s="24" t="n">
        <v>23</v>
      </c>
    </row>
    <row r="27">
      <c r="V27" s="23" t="inlineStr">
        <is>
          <t>Losses</t>
        </is>
      </c>
      <c r="W27" s="24" t="n">
        <v>49</v>
      </c>
    </row>
    <row r="28">
      <c r="V28" s="23" t="inlineStr">
        <is>
          <t>Breakeven</t>
        </is>
      </c>
      <c r="W28" s="24" t="n">
        <v>1</v>
      </c>
    </row>
    <row r="44">
      <c r="A44" s="4" t="inlineStr">
        <is>
          <t>R-multiple distribution · trades per band</t>
        </is>
      </c>
      <c r="K44" s="4" t="inlineStr">
        <is>
          <t>MFE offered (up) vs MAE heat taken (right)</t>
        </is>
      </c>
      <c r="V44" s="22" t="inlineStr">
        <is>
          <t>R band</t>
        </is>
      </c>
      <c r="W44" s="22" t="inlineStr">
        <is>
          <t>Trades</t>
        </is>
      </c>
    </row>
    <row r="45">
      <c r="V45" s="23" t="inlineStr">
        <is>
          <t>&lt;= -1.5R</t>
        </is>
      </c>
      <c r="W45" s="24" t="n">
        <v>8</v>
      </c>
    </row>
    <row r="46">
      <c r="V46" s="23" t="inlineStr">
        <is>
          <t>-1.5R..-1R</t>
        </is>
      </c>
      <c r="W46" s="24" t="n">
        <v>25</v>
      </c>
    </row>
    <row r="47">
      <c r="V47" s="23" t="inlineStr">
        <is>
          <t>-1R..-0.5R</t>
        </is>
      </c>
      <c r="W47" s="24" t="n">
        <v>4</v>
      </c>
    </row>
    <row r="48">
      <c r="V48" s="23" t="inlineStr">
        <is>
          <t>-0.5R..0</t>
        </is>
      </c>
      <c r="W48" s="24" t="n">
        <v>12</v>
      </c>
    </row>
    <row r="49">
      <c r="V49" s="23" t="inlineStr">
        <is>
          <t>Breakeven</t>
        </is>
      </c>
      <c r="W49" s="24" t="n">
        <v>1</v>
      </c>
    </row>
    <row r="50">
      <c r="V50" s="23" t="inlineStr">
        <is>
          <t>0..0.5R</t>
        </is>
      </c>
      <c r="W50" s="24" t="n">
        <v>2</v>
      </c>
    </row>
    <row r="51">
      <c r="V51" s="23" t="inlineStr">
        <is>
          <t>1R..2R</t>
        </is>
      </c>
      <c r="W51" s="24" t="n">
        <v>4</v>
      </c>
    </row>
    <row r="52">
      <c r="V52" s="23" t="inlineStr">
        <is>
          <t>2R..3R</t>
        </is>
      </c>
      <c r="W52" s="24" t="n">
        <v>10</v>
      </c>
    </row>
    <row r="53">
      <c r="V53" s="23" t="inlineStr">
        <is>
          <t>&gt;= 3R</t>
        </is>
      </c>
      <c r="W53" s="24" t="n">
        <v>7</v>
      </c>
    </row>
    <row r="63">
      <c r="A63" s="4" t="inlineStr">
        <is>
          <t>Forward risk (Monte Carlo)</t>
        </is>
      </c>
    </row>
    <row r="64">
      <c r="A64" s="25" t="inlineStr">
        <is>
          <t>5,000 runs of 100 trades, drawn with replacement from this account's own 73 results - so the tails in the real record stay in the projection.</t>
        </is>
      </c>
    </row>
    <row r="66" ht="15" customHeight="1">
      <c r="A66" s="5" t="inlineStr">
        <is>
          <t>MEDIAN OUTCOME</t>
        </is>
      </c>
      <c r="B66" s="6" t="n"/>
      <c r="C66" s="6" t="n"/>
      <c r="D66" s="5" t="inlineStr">
        <is>
          <t>BAD CASE (5%)</t>
        </is>
      </c>
      <c r="E66" s="6" t="n"/>
      <c r="F66" s="6" t="n"/>
      <c r="G66" s="5" t="inlineStr">
        <is>
          <t>GOOD CASE (95%)</t>
        </is>
      </c>
      <c r="H66" s="6" t="n"/>
      <c r="I66" s="6" t="n"/>
      <c r="J66" s="5" t="inlineStr">
        <is>
          <t>DRAWDOWN TO EXPECT</t>
        </is>
      </c>
      <c r="K66" s="6" t="n"/>
      <c r="L66" s="6" t="n"/>
      <c r="M66" s="5" t="inlineStr">
        <is>
          <t>CHANCE OF PROFIT</t>
        </is>
      </c>
      <c r="N66" s="6" t="n"/>
      <c r="O66" s="6" t="n"/>
    </row>
    <row r="67" ht="26" customHeight="1">
      <c r="A67" s="21" t="n">
        <v>1130.48</v>
      </c>
      <c r="B67" s="8" t="n"/>
      <c r="C67" s="9" t="n"/>
      <c r="D67" s="15" t="n">
        <v>910.92</v>
      </c>
      <c r="E67" s="8" t="n"/>
      <c r="F67" s="9" t="n"/>
      <c r="G67" s="18" t="n">
        <v>1368.83</v>
      </c>
      <c r="H67" s="8" t="n"/>
      <c r="I67" s="9" t="n"/>
      <c r="J67" s="21" t="n">
        <v>91.16</v>
      </c>
      <c r="K67" s="8" t="n"/>
      <c r="L67" s="9" t="n"/>
      <c r="M67" s="11" t="n">
        <v>83.59999999999999</v>
      </c>
      <c r="N67" s="8" t="n"/>
      <c r="O67" s="9" t="n"/>
    </row>
    <row r="68" ht="13" customHeight="1">
      <c r="A68" s="13" t="inlineStr">
        <is>
          <t>balance after 100 trades</t>
        </is>
      </c>
      <c r="B68" s="14" t="n"/>
      <c r="C68" s="14" t="n"/>
      <c r="D68" s="13" t="inlineStr">
        <is>
          <t>1 run in 20 ends here or worse</t>
        </is>
      </c>
      <c r="E68" s="14" t="n"/>
      <c r="F68" s="14" t="n"/>
      <c r="G68" s="13" t="inlineStr">
        <is>
          <t>1 run in 20 ends here or better</t>
        </is>
      </c>
      <c r="H68" s="14" t="n"/>
      <c r="I68" s="14" t="n"/>
      <c r="J68" s="13" t="inlineStr">
        <is>
          <t>p95 181.1 · worst 363.37</t>
        </is>
      </c>
      <c r="K68" s="14" t="n"/>
      <c r="L68" s="14" t="n"/>
      <c r="M68" s="13" t="inlineStr">
        <is>
          <t>risk of halving the account 0.0%</t>
        </is>
      </c>
      <c r="N68" s="14" t="n"/>
      <c r="O68" s="14" t="n"/>
    </row>
    <row r="72">
      <c r="A72" s="25" t="inlineStr">
        <is>
          <t>Every figure on this sheet is computed from the Trades sheet, which is the only source of data in this workbook. Change a filter there and the pivot sheets follow; the cards above are point-in-time values from the run that generated the file.</t>
        </is>
      </c>
    </row>
    <row r="73"/>
  </sheetData>
  <mergeCells count="79">
    <mergeCell ref="D11:F11"/>
    <mergeCell ref="G13:I13"/>
    <mergeCell ref="D66:F66"/>
    <mergeCell ref="A21:C21"/>
    <mergeCell ref="M12:O12"/>
    <mergeCell ref="J11:L11"/>
    <mergeCell ref="M21:O21"/>
    <mergeCell ref="A23:C23"/>
    <mergeCell ref="J66:L66"/>
    <mergeCell ref="D12:F12"/>
    <mergeCell ref="G16:I16"/>
    <mergeCell ref="D23:F23"/>
    <mergeCell ref="M66:O66"/>
    <mergeCell ref="M68:O68"/>
    <mergeCell ref="J13:L13"/>
    <mergeCell ref="M67:O67"/>
    <mergeCell ref="A6:C6"/>
    <mergeCell ref="M11:O11"/>
    <mergeCell ref="A66:C66"/>
    <mergeCell ref="G6:I6"/>
    <mergeCell ref="M22:O22"/>
    <mergeCell ref="D17:F17"/>
    <mergeCell ref="A12:C12"/>
    <mergeCell ref="M6:O6"/>
    <mergeCell ref="J7:L7"/>
    <mergeCell ref="J16:L16"/>
    <mergeCell ref="D68:F68"/>
    <mergeCell ref="A13:C13"/>
    <mergeCell ref="M23:O23"/>
    <mergeCell ref="D67:F67"/>
    <mergeCell ref="A1:P1"/>
    <mergeCell ref="A67:C67"/>
    <mergeCell ref="A72:P73"/>
    <mergeCell ref="J67:L67"/>
    <mergeCell ref="G8:I8"/>
    <mergeCell ref="G17:I17"/>
    <mergeCell ref="D21:F21"/>
    <mergeCell ref="A7:C7"/>
    <mergeCell ref="A16:C16"/>
    <mergeCell ref="J6:L6"/>
    <mergeCell ref="G66:I66"/>
    <mergeCell ref="A18:C18"/>
    <mergeCell ref="D7:F7"/>
    <mergeCell ref="G68:I68"/>
    <mergeCell ref="D16:F16"/>
    <mergeCell ref="A22:C22"/>
    <mergeCell ref="D18:F18"/>
    <mergeCell ref="M17:O17"/>
    <mergeCell ref="D8:F8"/>
    <mergeCell ref="G22:I22"/>
    <mergeCell ref="J18:L18"/>
    <mergeCell ref="J8:L8"/>
    <mergeCell ref="G12:I12"/>
    <mergeCell ref="J17:L17"/>
    <mergeCell ref="G21:I21"/>
    <mergeCell ref="D22:F22"/>
    <mergeCell ref="G23:I23"/>
    <mergeCell ref="D6:F6"/>
    <mergeCell ref="G7:I7"/>
    <mergeCell ref="J68:L68"/>
    <mergeCell ref="D13:F13"/>
    <mergeCell ref="M13:O13"/>
    <mergeCell ref="G18:I18"/>
    <mergeCell ref="M7:O7"/>
    <mergeCell ref="M16:O16"/>
    <mergeCell ref="J22:L22"/>
    <mergeCell ref="A8:C8"/>
    <mergeCell ref="M18:O18"/>
    <mergeCell ref="A17:C17"/>
    <mergeCell ref="M8:O8"/>
    <mergeCell ref="J12:L12"/>
    <mergeCell ref="A64:P64"/>
    <mergeCell ref="J21:L21"/>
    <mergeCell ref="A68:C68"/>
    <mergeCell ref="J23:L23"/>
    <mergeCell ref="G11:I11"/>
    <mergeCell ref="A11:C11"/>
    <mergeCell ref="G67:I67"/>
    <mergeCell ref="A2:P2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  <rowBreaks count="1" manualBreakCount="1">
    <brk id="4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G7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1" customWidth="1" min="3" max="3"/>
    <col width="7" customWidth="1" min="4" max="4"/>
    <col width="8" customWidth="1" min="5" max="5"/>
    <col width="19" customWidth="1" min="6" max="6"/>
    <col width="19" customWidth="1" min="7" max="7"/>
    <col width="10" customWidth="1" min="8" max="8"/>
    <col width="6" customWidth="1" min="9" max="9"/>
    <col width="12" customWidth="1" min="10" max="10"/>
    <col width="10" customWidth="1" min="11" max="11"/>
    <col width="9" customWidth="1" min="12" max="12"/>
    <col width="11" customWidth="1" min="13" max="13"/>
    <col width="12" customWidth="1" min="14" max="14"/>
    <col width="13" customWidth="1" min="15" max="15"/>
    <col width="13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1" customWidth="1" min="22" max="22"/>
    <col width="12" customWidth="1" min="23" max="23"/>
    <col width="10" customWidth="1" min="24" max="24"/>
    <col width="11" customWidth="1" min="25" max="25"/>
    <col width="11" customWidth="1" min="26" max="26"/>
    <col width="11" customWidth="1" min="27" max="27"/>
    <col width="11" customWidth="1" min="28" max="28"/>
    <col width="10" customWidth="1" min="29" max="29"/>
    <col width="11" customWidth="1" min="30" max="30"/>
    <col width="10" customWidth="1" min="31" max="31"/>
    <col width="14" customWidth="1" min="32" max="32"/>
    <col width="12" customWidth="1" min="33" max="33"/>
    <col width="10" customWidth="1" min="34" max="34"/>
    <col width="10" customWidth="1" min="35" max="35"/>
    <col width="10" customWidth="1" min="36" max="36"/>
    <col width="10" customWidth="1" min="37" max="37"/>
    <col width="12" customWidth="1" min="38" max="38"/>
    <col width="12" customWidth="1" min="39" max="39"/>
    <col width="12" customWidth="1" min="40" max="40"/>
    <col width="12" customWidth="1" min="41" max="41"/>
    <col width="9" customWidth="1" min="42" max="42"/>
    <col width="9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1" customWidth="1" min="50" max="50"/>
    <col width="13" customWidth="1" min="51" max="51"/>
    <col width="11" customWidth="1" min="52" max="52"/>
    <col width="11" customWidth="1" min="53" max="53"/>
    <col width="8" customWidth="1" min="54" max="54"/>
    <col width="12" customWidth="1" min="55" max="55"/>
    <col width="10" customWidth="1" min="56" max="56"/>
    <col width="8" customWidth="1" min="57" max="57"/>
    <col width="30" customWidth="1" min="58" max="58"/>
    <col width="24" customWidth="1" min="59" max="59"/>
  </cols>
  <sheetData>
    <row r="1" ht="30" customHeight="1">
      <c r="A1" s="22" t="inlineStr">
        <is>
          <t>#</t>
        </is>
      </c>
      <c r="B1" s="22" t="inlineStr">
        <is>
          <t>Ticket</t>
        </is>
      </c>
      <c r="C1" s="22" t="inlineStr">
        <is>
          <t>Symbol</t>
        </is>
      </c>
      <c r="D1" s="22" t="inlineStr">
        <is>
          <t>Side</t>
        </is>
      </c>
      <c r="E1" s="22" t="inlineStr">
        <is>
          <t>Volume</t>
        </is>
      </c>
      <c r="F1" s="22" t="inlineStr">
        <is>
          <t>Opened</t>
        </is>
      </c>
      <c r="G1" s="22" t="inlineStr">
        <is>
          <t>Closed</t>
        </is>
      </c>
      <c r="H1" s="22" t="inlineStr">
        <is>
          <t>Weekday</t>
        </is>
      </c>
      <c r="I1" s="22" t="inlineStr">
        <is>
          <t>Hour</t>
        </is>
      </c>
      <c r="J1" s="22" t="inlineStr">
        <is>
          <t>Session</t>
        </is>
      </c>
      <c r="K1" s="22" t="inlineStr">
        <is>
          <t>Week</t>
        </is>
      </c>
      <c r="L1" s="22" t="inlineStr">
        <is>
          <t>Month</t>
        </is>
      </c>
      <c r="M1" s="22" t="inlineStr">
        <is>
          <t>Duration</t>
        </is>
      </c>
      <c r="N1" s="22" t="inlineStr">
        <is>
          <t>Duration (s)</t>
        </is>
      </c>
      <c r="O1" s="22" t="inlineStr">
        <is>
          <t>Duration (min)</t>
        </is>
      </c>
      <c r="P1" s="22" t="inlineStr">
        <is>
          <t>Duration band</t>
        </is>
      </c>
      <c r="Q1" s="22" t="inlineStr">
        <is>
          <t>Entry</t>
        </is>
      </c>
      <c r="R1" s="22" t="inlineStr">
        <is>
          <t>Exit</t>
        </is>
      </c>
      <c r="S1" s="22" t="inlineStr">
        <is>
          <t>SL initial</t>
        </is>
      </c>
      <c r="T1" s="22" t="inlineStr">
        <is>
          <t>TP initial</t>
        </is>
      </c>
      <c r="U1" s="22" t="inlineStr">
        <is>
          <t>SL final</t>
        </is>
      </c>
      <c r="V1" s="22" t="inlineStr">
        <is>
          <t>SL moved</t>
        </is>
      </c>
      <c r="W1" s="22" t="inlineStr">
        <is>
          <t>SL move (pts)</t>
        </is>
      </c>
      <c r="X1" s="22" t="inlineStr">
        <is>
          <t>Risk</t>
        </is>
      </c>
      <c r="Y1" s="22" t="inlineStr">
        <is>
          <t>Planned RR</t>
        </is>
      </c>
      <c r="Z1" s="22" t="inlineStr">
        <is>
          <t>R multiple</t>
        </is>
      </c>
      <c r="AA1" s="22" t="inlineStr">
        <is>
          <t>R band</t>
        </is>
      </c>
      <c r="AB1" s="22" t="inlineStr">
        <is>
          <t>Gross</t>
        </is>
      </c>
      <c r="AC1" s="22" t="inlineStr">
        <is>
          <t>Costs</t>
        </is>
      </c>
      <c r="AD1" s="22" t="inlineStr">
        <is>
          <t>Net</t>
        </is>
      </c>
      <c r="AE1" s="22" t="inlineStr">
        <is>
          <t>Outcome</t>
        </is>
      </c>
      <c r="AF1" s="22" t="inlineStr">
        <is>
          <t>Exit reason</t>
        </is>
      </c>
      <c r="AG1" s="22" t="inlineStr">
        <is>
          <t>Result (pts)</t>
        </is>
      </c>
      <c r="AH1" s="22" t="inlineStr">
        <is>
          <t>MFE</t>
        </is>
      </c>
      <c r="AI1" s="22" t="inlineStr">
        <is>
          <t>MAE</t>
        </is>
      </c>
      <c r="AJ1" s="22" t="inlineStr">
        <is>
          <t>MFE (R)</t>
        </is>
      </c>
      <c r="AK1" s="22" t="inlineStr">
        <is>
          <t>MAE (R)</t>
        </is>
      </c>
      <c r="AL1" s="22" t="inlineStr">
        <is>
          <t>MFE price</t>
        </is>
      </c>
      <c r="AM1" s="22" t="inlineStr">
        <is>
          <t>MAE price</t>
        </is>
      </c>
      <c r="AN1" s="22" t="inlineStr">
        <is>
          <t>Time to MFE</t>
        </is>
      </c>
      <c r="AO1" s="22" t="inlineStr">
        <is>
          <t>Time to MAE</t>
        </is>
      </c>
      <c r="AP1" s="22" t="inlineStr">
        <is>
          <t>Heat %</t>
        </is>
      </c>
      <c r="AQ1" s="22" t="inlineStr">
        <is>
          <t>Capture</t>
        </is>
      </c>
      <c r="AR1" s="22" t="inlineStr">
        <is>
          <t>Giveback</t>
        </is>
      </c>
      <c r="AS1" s="22" t="inlineStr">
        <is>
          <t>Entry eff.</t>
        </is>
      </c>
      <c r="AT1" s="22" t="inlineStr">
        <is>
          <t>Exit eff.</t>
        </is>
      </c>
      <c r="AU1" s="22" t="inlineStr">
        <is>
          <t>Total eff.</t>
        </is>
      </c>
      <c r="AV1" s="22" t="inlineStr">
        <is>
          <t>MFE first</t>
        </is>
      </c>
      <c r="AW1" s="22" t="inlineStr">
        <is>
          <t>Near miss</t>
        </is>
      </c>
      <c r="AX1" s="22" t="inlineStr">
        <is>
          <t>Risk % bal.</t>
        </is>
      </c>
      <c r="AY1" s="22" t="inlineStr">
        <is>
          <t>Balance after</t>
        </is>
      </c>
      <c r="AZ1" s="22" t="inlineStr">
        <is>
          <t>Drawdown</t>
        </is>
      </c>
      <c r="BA1" s="22" t="inlineStr">
        <is>
          <t>Drawdown %</t>
        </is>
      </c>
      <c r="BB1" s="22" t="inlineStr">
        <is>
          <t>Streak</t>
        </is>
      </c>
      <c r="BC1" s="22" t="inlineStr">
        <is>
          <t>Excursion src</t>
        </is>
      </c>
      <c r="BD1" s="22" t="inlineStr">
        <is>
          <t>Samples</t>
        </is>
      </c>
      <c r="BE1" s="22" t="inlineStr">
        <is>
          <t>Shots</t>
        </is>
      </c>
      <c r="BF1" s="22" t="inlineStr">
        <is>
          <t>Folder</t>
        </is>
      </c>
      <c r="BG1" s="22" t="inlineStr">
        <is>
          <t>Note</t>
        </is>
      </c>
    </row>
    <row r="2" ht="16" customHeight="1">
      <c r="A2" s="24" t="n">
        <v>1</v>
      </c>
      <c r="B2" s="26" t="n">
        <v>55869735</v>
      </c>
      <c r="C2" s="27" t="inlineStr">
        <is>
          <t>DJIUSD</t>
        </is>
      </c>
      <c r="D2" s="27" t="inlineStr">
        <is>
          <t>buy</t>
        </is>
      </c>
      <c r="E2" s="28" t="n">
        <v>0.01</v>
      </c>
      <c r="F2" s="29" t="n">
        <v>46232.56289001158</v>
      </c>
      <c r="G2" s="29" t="n">
        <v>46232.57689390046</v>
      </c>
      <c r="H2" s="27" t="inlineStr">
        <is>
          <t>Wednesday</t>
        </is>
      </c>
      <c r="I2" s="26" t="n">
        <v>13</v>
      </c>
      <c r="J2" s="27" t="inlineStr">
        <is>
          <t>NY Overlap</t>
        </is>
      </c>
      <c r="K2" s="27" t="inlineStr">
        <is>
          <t>2026-W31</t>
        </is>
      </c>
      <c r="L2" s="27" t="inlineStr">
        <is>
          <t>2026-07</t>
        </is>
      </c>
      <c r="M2" s="27" t="inlineStr">
        <is>
          <t>20m 10s</t>
        </is>
      </c>
      <c r="N2" s="30" t="n">
        <v>1209.9359998703</v>
      </c>
      <c r="O2" s="28" t="n">
        <v>20.166</v>
      </c>
      <c r="P2" s="27" t="inlineStr">
        <is>
          <t>D. 15-30 min</t>
        </is>
      </c>
      <c r="Q2" s="28" t="n">
        <v>52300.64</v>
      </c>
      <c r="R2" s="28" t="n">
        <v>52201.35</v>
      </c>
      <c r="S2" s="28" t="n">
        <v>52216.33</v>
      </c>
      <c r="T2" s="28" t="n">
        <v>52366.08</v>
      </c>
      <c r="U2" s="28" t="n">
        <v>52201.74</v>
      </c>
      <c r="V2" s="27" t="inlineStr">
        <is>
          <t>Widened</t>
        </is>
      </c>
      <c r="W2" s="30" t="n">
        <v>-1459</v>
      </c>
      <c r="X2" s="31" t="n">
        <v>8.43</v>
      </c>
      <c r="Y2" s="28" t="n">
        <v>0.776</v>
      </c>
      <c r="Z2" s="32" t="n">
        <v>-1.178</v>
      </c>
      <c r="AA2" s="27" t="inlineStr">
        <is>
          <t>B. -1.5R..-1R</t>
        </is>
      </c>
      <c r="AB2" s="31" t="n">
        <v>-9.93</v>
      </c>
      <c r="AC2" s="31" t="n">
        <v>0</v>
      </c>
      <c r="AD2" s="33" t="n">
        <v>-9.93</v>
      </c>
      <c r="AE2" s="27" t="inlineStr">
        <is>
          <t>Loss</t>
        </is>
      </c>
      <c r="AF2" s="27" t="inlineStr">
        <is>
          <t>Stop Loss</t>
        </is>
      </c>
      <c r="AG2" s="30" t="n">
        <v>-9929</v>
      </c>
      <c r="AH2" s="31" t="n">
        <v>5.92</v>
      </c>
      <c r="AI2" s="31" t="n">
        <v>-10.23</v>
      </c>
      <c r="AJ2" s="28" t="n">
        <v>0.702</v>
      </c>
      <c r="AK2" s="28" t="n">
        <v>-1.214</v>
      </c>
      <c r="AL2" s="28" t="n">
        <v>52359.85</v>
      </c>
      <c r="AM2" s="28" t="n">
        <v>52198.35</v>
      </c>
      <c r="AN2" s="27" t="inlineStr">
        <is>
          <t>27s</t>
        </is>
      </c>
      <c r="AO2" s="27" t="inlineStr">
        <is>
          <t>20m 10s</t>
        </is>
      </c>
      <c r="AP2" s="34" t="n">
        <v>121.4</v>
      </c>
      <c r="AQ2" s="28" t="n">
        <v>-1.677</v>
      </c>
      <c r="AR2" s="31" t="n">
        <v>15.85</v>
      </c>
      <c r="AS2" s="28" t="n">
        <v>0.3666</v>
      </c>
      <c r="AT2" s="28" t="n">
        <v>0.0186</v>
      </c>
      <c r="AU2" s="28" t="n">
        <v>-0.6148</v>
      </c>
      <c r="AV2" s="27" t="inlineStr">
        <is>
          <t>Yes</t>
        </is>
      </c>
      <c r="AW2" s="27" t="inlineStr">
        <is>
          <t>No</t>
        </is>
      </c>
      <c r="AX2" s="35" t="n">
        <v>0.843</v>
      </c>
      <c r="AY2" s="31" t="n">
        <v>990.0700000000001</v>
      </c>
      <c r="AZ2" s="31" t="n">
        <v>9.93</v>
      </c>
      <c r="BA2" s="34" t="n">
        <v>0.993</v>
      </c>
      <c r="BB2" s="36" t="n">
        <v>-1</v>
      </c>
      <c r="BC2" s="27" t="inlineStr">
        <is>
          <t>ticks</t>
        </is>
      </c>
      <c r="BD2" s="24" t="n">
        <v>3017</v>
      </c>
      <c r="BE2" s="24" t="n">
        <v>9</v>
      </c>
      <c r="BF2" s="27" t="inlineStr">
        <is>
          <t>3214929/DJIUSD/2026-07-29_55869735_DJIUSD_buy_loss</t>
        </is>
      </c>
      <c r="BG2" s="27" t="n"/>
    </row>
    <row r="3" ht="16" customHeight="1">
      <c r="A3" s="24" t="n">
        <v>2</v>
      </c>
      <c r="B3" s="26" t="n">
        <v>55899455</v>
      </c>
      <c r="C3" s="27" t="inlineStr">
        <is>
          <t>DAXEUR</t>
        </is>
      </c>
      <c r="D3" s="27" t="inlineStr">
        <is>
          <t>sell</t>
        </is>
      </c>
      <c r="E3" s="28" t="n">
        <v>0.03</v>
      </c>
      <c r="F3" s="29" t="n">
        <v>46232.57861480324</v>
      </c>
      <c r="G3" s="29" t="n">
        <v>46232.58487559028</v>
      </c>
      <c r="H3" s="27" t="inlineStr">
        <is>
          <t>Wednesday</t>
        </is>
      </c>
      <c r="I3" s="26" t="n">
        <v>13</v>
      </c>
      <c r="J3" s="27" t="inlineStr">
        <is>
          <t>NY Overlap</t>
        </is>
      </c>
      <c r="K3" s="27" t="inlineStr">
        <is>
          <t>2026-W31</t>
        </is>
      </c>
      <c r="L3" s="27" t="inlineStr">
        <is>
          <t>2026-07</t>
        </is>
      </c>
      <c r="M3" s="27" t="inlineStr">
        <is>
          <t>9m 01s</t>
        </is>
      </c>
      <c r="N3" s="30" t="n">
        <v>540.9319999217987</v>
      </c>
      <c r="O3" s="28" t="n">
        <v>9.016</v>
      </c>
      <c r="P3" s="27" t="inlineStr">
        <is>
          <t>C. 5-15 min</t>
        </is>
      </c>
      <c r="Q3" s="28" t="n">
        <v>25472.88</v>
      </c>
      <c r="R3" s="28" t="n">
        <v>25516.62</v>
      </c>
      <c r="S3" s="28" t="n">
        <v>25496.24</v>
      </c>
      <c r="T3" s="28" t="n">
        <v>25336.19</v>
      </c>
      <c r="U3" s="28" t="n">
        <v>25516.13</v>
      </c>
      <c r="V3" s="27" t="inlineStr">
        <is>
          <t>Widened</t>
        </is>
      </c>
      <c r="W3" s="30" t="n">
        <v>-1989</v>
      </c>
      <c r="X3" s="31" t="n">
        <v>8.09</v>
      </c>
      <c r="Y3" s="28" t="n">
        <v>5.848</v>
      </c>
      <c r="Z3" s="32" t="n">
        <v>-1.848</v>
      </c>
      <c r="AA3" s="27" t="inlineStr">
        <is>
          <t>A. &lt;= -1.5R</t>
        </is>
      </c>
      <c r="AB3" s="31" t="n">
        <v>-14.95</v>
      </c>
      <c r="AC3" s="31" t="n">
        <v>0</v>
      </c>
      <c r="AD3" s="33" t="n">
        <v>-14.95</v>
      </c>
      <c r="AE3" s="27" t="inlineStr">
        <is>
          <t>Loss</t>
        </is>
      </c>
      <c r="AF3" s="27" t="inlineStr">
        <is>
          <t>Stop Loss</t>
        </is>
      </c>
      <c r="AG3" s="30" t="n">
        <v>-4374</v>
      </c>
      <c r="AH3" s="31" t="n">
        <v>7.53</v>
      </c>
      <c r="AI3" s="31" t="n">
        <v>-15.31</v>
      </c>
      <c r="AJ3" s="28" t="n">
        <v>0.931</v>
      </c>
      <c r="AK3" s="28" t="n">
        <v>-1.892</v>
      </c>
      <c r="AL3" s="28" t="n">
        <v>25451.13</v>
      </c>
      <c r="AM3" s="28" t="n">
        <v>25517.12</v>
      </c>
      <c r="AN3" s="27" t="inlineStr">
        <is>
          <t>4m 25s</t>
        </is>
      </c>
      <c r="AO3" s="27" t="inlineStr">
        <is>
          <t>9m 01s</t>
        </is>
      </c>
      <c r="AP3" s="34" t="n">
        <v>189.2</v>
      </c>
      <c r="AQ3" s="28" t="n">
        <v>-1.985</v>
      </c>
      <c r="AR3" s="31" t="n">
        <v>22.48</v>
      </c>
      <c r="AS3" s="28" t="n">
        <v>0.3296</v>
      </c>
      <c r="AT3" s="28" t="n">
        <v>0.0076</v>
      </c>
      <c r="AU3" s="28" t="n">
        <v>-0.6627999999999999</v>
      </c>
      <c r="AV3" s="27" t="inlineStr">
        <is>
          <t>Yes</t>
        </is>
      </c>
      <c r="AW3" s="27" t="inlineStr">
        <is>
          <t>No</t>
        </is>
      </c>
      <c r="AX3" s="35" t="n">
        <v>0.8169999999999999</v>
      </c>
      <c r="AY3" s="31" t="n">
        <v>975.12</v>
      </c>
      <c r="AZ3" s="31" t="n">
        <v>24.88</v>
      </c>
      <c r="BA3" s="34" t="n">
        <v>2.488</v>
      </c>
      <c r="BB3" s="36" t="n">
        <v>-2</v>
      </c>
      <c r="BC3" s="27" t="inlineStr">
        <is>
          <t>ticks</t>
        </is>
      </c>
      <c r="BD3" s="24" t="n">
        <v>1036</v>
      </c>
      <c r="BE3" s="24" t="n">
        <v>9</v>
      </c>
      <c r="BF3" s="27" t="inlineStr">
        <is>
          <t>3214929/DAXEUR/2026-07-29_55899455_DAXEUR_sell_loss</t>
        </is>
      </c>
      <c r="BG3" s="27" t="n"/>
    </row>
    <row r="4" ht="16" customHeight="1">
      <c r="A4" s="24" t="n">
        <v>3</v>
      </c>
      <c r="B4" s="26" t="n">
        <v>55923534</v>
      </c>
      <c r="C4" s="27" t="inlineStr">
        <is>
          <t>DJIUSD</t>
        </is>
      </c>
      <c r="D4" s="27" t="inlineStr">
        <is>
          <t>buy</t>
        </is>
      </c>
      <c r="E4" s="28" t="n">
        <v>0.01</v>
      </c>
      <c r="F4" s="29" t="n">
        <v>46232.59301877315</v>
      </c>
      <c r="G4" s="29" t="n">
        <v>46232.6014075</v>
      </c>
      <c r="H4" s="27" t="inlineStr">
        <is>
          <t>Wednesday</t>
        </is>
      </c>
      <c r="I4" s="26" t="n">
        <v>14</v>
      </c>
      <c r="J4" s="27" t="inlineStr">
        <is>
          <t>NY Overlap</t>
        </is>
      </c>
      <c r="K4" s="27" t="inlineStr">
        <is>
          <t>2026-W31</t>
        </is>
      </c>
      <c r="L4" s="27" t="inlineStr">
        <is>
          <t>2026-07</t>
        </is>
      </c>
      <c r="M4" s="27" t="inlineStr">
        <is>
          <t>12m 05s</t>
        </is>
      </c>
      <c r="N4" s="30" t="n">
        <v>724.7860000133514</v>
      </c>
      <c r="O4" s="28" t="n">
        <v>12.08</v>
      </c>
      <c r="P4" s="27" t="inlineStr">
        <is>
          <t>C. 5-15 min</t>
        </is>
      </c>
      <c r="Q4" s="28" t="n">
        <v>51944.09</v>
      </c>
      <c r="R4" s="28" t="n">
        <v>51943.8</v>
      </c>
      <c r="S4" s="28" t="n">
        <v>51890.57</v>
      </c>
      <c r="T4" s="28" t="n">
        <v>51999.81</v>
      </c>
      <c r="U4" s="28" t="n">
        <v>51944.09</v>
      </c>
      <c r="V4" s="27" t="inlineStr">
        <is>
          <t>Breakeven</t>
        </is>
      </c>
      <c r="W4" s="30" t="n">
        <v>5352</v>
      </c>
      <c r="X4" s="31" t="n">
        <v>5.35</v>
      </c>
      <c r="Y4" s="28" t="n">
        <v>1.041</v>
      </c>
      <c r="Z4" s="32" t="n">
        <v>-0.006</v>
      </c>
      <c r="AA4" s="27" t="inlineStr">
        <is>
          <t>D. -0.5R..0</t>
        </is>
      </c>
      <c r="AB4" s="31" t="n">
        <v>-0.03</v>
      </c>
      <c r="AC4" s="31" t="n">
        <v>0</v>
      </c>
      <c r="AD4" s="33" t="n">
        <v>-0.03</v>
      </c>
      <c r="AE4" s="27" t="inlineStr">
        <is>
          <t>Loss</t>
        </is>
      </c>
      <c r="AF4" s="27" t="inlineStr">
        <is>
          <t>Stop Loss</t>
        </is>
      </c>
      <c r="AG4" s="30" t="n">
        <v>-29</v>
      </c>
      <c r="AH4" s="31" t="n">
        <v>9.220000000000001</v>
      </c>
      <c r="AI4" s="31" t="n">
        <v>-0.33</v>
      </c>
      <c r="AJ4" s="28" t="n">
        <v>1.723</v>
      </c>
      <c r="AK4" s="28" t="n">
        <v>-0.062</v>
      </c>
      <c r="AL4" s="28" t="n">
        <v>52036.3</v>
      </c>
      <c r="AM4" s="28" t="n">
        <v>51940.8</v>
      </c>
      <c r="AN4" s="27" t="inlineStr">
        <is>
          <t>8m 33s</t>
        </is>
      </c>
      <c r="AO4" s="27" t="inlineStr">
        <is>
          <t>0.0s</t>
        </is>
      </c>
      <c r="AP4" s="34" t="n">
        <v>6.2</v>
      </c>
      <c r="AQ4" s="28" t="n">
        <v>-0.003</v>
      </c>
      <c r="AR4" s="31" t="n">
        <v>9.25</v>
      </c>
      <c r="AS4" s="28" t="n">
        <v>0.9655</v>
      </c>
      <c r="AT4" s="28" t="n">
        <v>0.0314</v>
      </c>
      <c r="AU4" s="28" t="n">
        <v>-0.003</v>
      </c>
      <c r="AV4" s="27" t="inlineStr">
        <is>
          <t>No</t>
        </is>
      </c>
      <c r="AW4" s="27" t="inlineStr">
        <is>
          <t>No</t>
        </is>
      </c>
      <c r="AX4" s="35" t="n">
        <v>0.549</v>
      </c>
      <c r="AY4" s="31" t="n">
        <v>975.09</v>
      </c>
      <c r="AZ4" s="31" t="n">
        <v>24.91</v>
      </c>
      <c r="BA4" s="34" t="n">
        <v>2.491</v>
      </c>
      <c r="BB4" s="36" t="n">
        <v>-3</v>
      </c>
      <c r="BC4" s="27" t="inlineStr">
        <is>
          <t>ticks</t>
        </is>
      </c>
      <c r="BD4" s="24" t="n">
        <v>1707</v>
      </c>
      <c r="BE4" s="24" t="n">
        <v>9</v>
      </c>
      <c r="BF4" s="27" t="inlineStr">
        <is>
          <t>3214929/DJIUSD/2026-07-29_55923534_DJIUSD_buy_loss</t>
        </is>
      </c>
      <c r="BG4" s="27" t="n"/>
    </row>
    <row r="5" ht="16" customHeight="1">
      <c r="A5" s="24" t="n">
        <v>4</v>
      </c>
      <c r="B5" s="26" t="n">
        <v>55942814</v>
      </c>
      <c r="C5" s="27" t="inlineStr">
        <is>
          <t>DJIUSD</t>
        </is>
      </c>
      <c r="D5" s="27" t="inlineStr">
        <is>
          <t>buy</t>
        </is>
      </c>
      <c r="E5" s="28" t="n">
        <v>0.01</v>
      </c>
      <c r="F5" s="29" t="n">
        <v>46232.6126619213</v>
      </c>
      <c r="G5" s="29" t="n">
        <v>46232.62315185185</v>
      </c>
      <c r="H5" s="27" t="inlineStr">
        <is>
          <t>Wednesday</t>
        </is>
      </c>
      <c r="I5" s="26" t="n">
        <v>14</v>
      </c>
      <c r="J5" s="27" t="inlineStr">
        <is>
          <t>NY Overlap</t>
        </is>
      </c>
      <c r="K5" s="27" t="inlineStr">
        <is>
          <t>2026-W31</t>
        </is>
      </c>
      <c r="L5" s="27" t="inlineStr">
        <is>
          <t>2026-07</t>
        </is>
      </c>
      <c r="M5" s="27" t="inlineStr">
        <is>
          <t>15m 06s</t>
        </is>
      </c>
      <c r="N5" s="30" t="n">
        <v>906.3299999237061</v>
      </c>
      <c r="O5" s="28" t="n">
        <v>15.105</v>
      </c>
      <c r="P5" s="27" t="inlineStr">
        <is>
          <t>D. 15-30 min</t>
        </is>
      </c>
      <c r="Q5" s="28" t="n">
        <v>51897.19</v>
      </c>
      <c r="R5" s="28" t="n">
        <v>51896.4</v>
      </c>
      <c r="S5" s="28" t="n">
        <v>51842.73</v>
      </c>
      <c r="T5" s="28" t="n">
        <v>51953.94</v>
      </c>
      <c r="U5" s="28" t="n">
        <v>51897.19</v>
      </c>
      <c r="V5" s="27" t="inlineStr">
        <is>
          <t>Breakeven</t>
        </is>
      </c>
      <c r="W5" s="30" t="n">
        <v>5446</v>
      </c>
      <c r="X5" s="31" t="n">
        <v>5.45</v>
      </c>
      <c r="Y5" s="28" t="n">
        <v>1.042</v>
      </c>
      <c r="Z5" s="32" t="n">
        <v>-0.015</v>
      </c>
      <c r="AA5" s="27" t="inlineStr">
        <is>
          <t>D. -0.5R..0</t>
        </is>
      </c>
      <c r="AB5" s="31" t="n">
        <v>-0.08</v>
      </c>
      <c r="AC5" s="31" t="n">
        <v>0</v>
      </c>
      <c r="AD5" s="33" t="n">
        <v>-0.08</v>
      </c>
      <c r="AE5" s="27" t="inlineStr">
        <is>
          <t>Loss</t>
        </is>
      </c>
      <c r="AF5" s="27" t="inlineStr">
        <is>
          <t>Stop Loss</t>
        </is>
      </c>
      <c r="AG5" s="30" t="n">
        <v>-79</v>
      </c>
      <c r="AH5" s="31" t="n">
        <v>5.02</v>
      </c>
      <c r="AI5" s="31" t="n">
        <v>-3.78</v>
      </c>
      <c r="AJ5" s="28" t="n">
        <v>0.921</v>
      </c>
      <c r="AK5" s="28" t="n">
        <v>-0.694</v>
      </c>
      <c r="AL5" s="28" t="n">
        <v>51947.4</v>
      </c>
      <c r="AM5" s="28" t="n">
        <v>51859.4</v>
      </c>
      <c r="AN5" s="27" t="inlineStr">
        <is>
          <t>11m 36s</t>
        </is>
      </c>
      <c r="AO5" s="27" t="inlineStr">
        <is>
          <t>2m 06s</t>
        </is>
      </c>
      <c r="AP5" s="34" t="n">
        <v>69.40000000000001</v>
      </c>
      <c r="AQ5" s="28" t="n">
        <v>-0.016</v>
      </c>
      <c r="AR5" s="31" t="n">
        <v>5.1</v>
      </c>
      <c r="AS5" s="28" t="n">
        <v>0.5706</v>
      </c>
      <c r="AT5" s="28" t="n">
        <v>0.4205</v>
      </c>
      <c r="AU5" s="28" t="n">
        <v>-0.008999999999999999</v>
      </c>
      <c r="AV5" s="27" t="inlineStr">
        <is>
          <t>No</t>
        </is>
      </c>
      <c r="AW5" s="27" t="inlineStr">
        <is>
          <t>No</t>
        </is>
      </c>
      <c r="AX5" s="35" t="n">
        <v>0.5590000000000001</v>
      </c>
      <c r="AY5" s="31" t="n">
        <v>975.01</v>
      </c>
      <c r="AZ5" s="31" t="n">
        <v>24.99</v>
      </c>
      <c r="BA5" s="34" t="n">
        <v>2.499</v>
      </c>
      <c r="BB5" s="36" t="n">
        <v>-4</v>
      </c>
      <c r="BC5" s="27" t="inlineStr">
        <is>
          <t>ticks</t>
        </is>
      </c>
      <c r="BD5" s="24" t="n">
        <v>1987</v>
      </c>
      <c r="BE5" s="24" t="n">
        <v>9</v>
      </c>
      <c r="BF5" s="27" t="inlineStr">
        <is>
          <t>3214929/DJIUSD/2026-07-29_55942814_DJIUSD_buy_loss</t>
        </is>
      </c>
      <c r="BG5" s="27" t="n"/>
    </row>
    <row r="6" ht="16" customHeight="1">
      <c r="A6" s="24" t="n">
        <v>5</v>
      </c>
      <c r="B6" s="26" t="n">
        <v>55934591</v>
      </c>
      <c r="C6" s="27" t="inlineStr">
        <is>
          <t>DJIUSD</t>
        </is>
      </c>
      <c r="D6" s="27" t="inlineStr">
        <is>
          <t>buy</t>
        </is>
      </c>
      <c r="E6" s="28" t="n">
        <v>0.01</v>
      </c>
      <c r="F6" s="29" t="n">
        <v>46232.6023587963</v>
      </c>
      <c r="G6" s="29" t="n">
        <v>46232.64162</v>
      </c>
      <c r="H6" s="27" t="inlineStr">
        <is>
          <t>Wednesday</t>
        </is>
      </c>
      <c r="I6" s="26" t="n">
        <v>14</v>
      </c>
      <c r="J6" s="27" t="inlineStr">
        <is>
          <t>NY Overlap</t>
        </is>
      </c>
      <c r="K6" s="27" t="inlineStr">
        <is>
          <t>2026-W31</t>
        </is>
      </c>
      <c r="L6" s="27" t="inlineStr">
        <is>
          <t>2026-07</t>
        </is>
      </c>
      <c r="M6" s="27" t="inlineStr">
        <is>
          <t>56m 32s</t>
        </is>
      </c>
      <c r="N6" s="30" t="n">
        <v>3392.167999982834</v>
      </c>
      <c r="O6" s="28" t="n">
        <v>56.536</v>
      </c>
      <c r="P6" s="27" t="inlineStr">
        <is>
          <t>E. 30-60 min</t>
        </is>
      </c>
      <c r="Q6" s="28" t="n">
        <v>51949.09</v>
      </c>
      <c r="R6" s="28" t="n">
        <v>51916.39999999999</v>
      </c>
      <c r="S6" s="28" t="n">
        <v>51869.18</v>
      </c>
      <c r="T6" s="28" t="n">
        <v>52039.09</v>
      </c>
      <c r="U6" s="28" t="n">
        <v>51869.18</v>
      </c>
      <c r="V6" s="27" t="inlineStr">
        <is>
          <t>Unchanged</t>
        </is>
      </c>
      <c r="W6" s="30" t="n">
        <v>0</v>
      </c>
      <c r="X6" s="31" t="n">
        <v>7.99</v>
      </c>
      <c r="Y6" s="28" t="n">
        <v>1.126</v>
      </c>
      <c r="Z6" s="32" t="n">
        <v>-0.409</v>
      </c>
      <c r="AA6" s="27" t="inlineStr">
        <is>
          <t>D. -0.5R..0</t>
        </is>
      </c>
      <c r="AB6" s="31" t="n">
        <v>-3.27</v>
      </c>
      <c r="AC6" s="31" t="n">
        <v>0</v>
      </c>
      <c r="AD6" s="33" t="n">
        <v>-3.27</v>
      </c>
      <c r="AE6" s="27" t="inlineStr">
        <is>
          <t>Loss</t>
        </is>
      </c>
      <c r="AF6" s="27" t="inlineStr">
        <is>
          <t>Expert</t>
        </is>
      </c>
      <c r="AG6" s="30" t="n">
        <v>-3269</v>
      </c>
      <c r="AH6" s="31" t="n">
        <v>3.18</v>
      </c>
      <c r="AI6" s="31" t="n">
        <v>-8.970000000000001</v>
      </c>
      <c r="AJ6" s="28" t="n">
        <v>0.398</v>
      </c>
      <c r="AK6" s="28" t="n">
        <v>-1.123</v>
      </c>
      <c r="AL6" s="28" t="n">
        <v>51980.9</v>
      </c>
      <c r="AM6" s="28" t="n">
        <v>51859.4</v>
      </c>
      <c r="AN6" s="27" t="inlineStr">
        <is>
          <t>3m 18s</t>
        </is>
      </c>
      <c r="AO6" s="27" t="inlineStr">
        <is>
          <t>16m 56s</t>
        </is>
      </c>
      <c r="AP6" s="34" t="n">
        <v>112.3</v>
      </c>
      <c r="AQ6" s="28" t="n">
        <v>-1.028</v>
      </c>
      <c r="AR6" s="31" t="n">
        <v>6.45</v>
      </c>
      <c r="AS6" s="28" t="n">
        <v>0.2618</v>
      </c>
      <c r="AT6" s="28" t="n">
        <v>0.4691</v>
      </c>
      <c r="AU6" s="28" t="n">
        <v>-0.2691</v>
      </c>
      <c r="AV6" s="27" t="inlineStr">
        <is>
          <t>Yes</t>
        </is>
      </c>
      <c r="AW6" s="27" t="inlineStr">
        <is>
          <t>No</t>
        </is>
      </c>
      <c r="AX6" s="35" t="n">
        <v>0.819</v>
      </c>
      <c r="AY6" s="31" t="n">
        <v>971.74</v>
      </c>
      <c r="AZ6" s="31" t="n">
        <v>28.26</v>
      </c>
      <c r="BA6" s="34" t="n">
        <v>2.826</v>
      </c>
      <c r="BB6" s="36" t="n">
        <v>-5</v>
      </c>
      <c r="BC6" s="27" t="inlineStr">
        <is>
          <t>ticks</t>
        </is>
      </c>
      <c r="BD6" s="24" t="n">
        <v>7381</v>
      </c>
      <c r="BE6" s="24" t="n">
        <v>9</v>
      </c>
      <c r="BF6" s="27" t="inlineStr">
        <is>
          <t>3214929/DJIUSD/2026-07-29_55934591_DJIUSD_buy_loss</t>
        </is>
      </c>
      <c r="BG6" s="27" t="n"/>
    </row>
    <row r="7" ht="16" customHeight="1">
      <c r="A7" s="24" t="n">
        <v>6</v>
      </c>
      <c r="B7" s="26" t="n">
        <v>55973757</v>
      </c>
      <c r="C7" s="27" t="inlineStr">
        <is>
          <t>XAUUSD</t>
        </is>
      </c>
      <c r="D7" s="27" t="inlineStr">
        <is>
          <t>sell</t>
        </is>
      </c>
      <c r="E7" s="28" t="n">
        <v>0.01</v>
      </c>
      <c r="F7" s="29" t="n">
        <v>46232.6627503125</v>
      </c>
      <c r="G7" s="29" t="n">
        <v>46232.67178563657</v>
      </c>
      <c r="H7" s="27" t="inlineStr">
        <is>
          <t>Wednesday</t>
        </is>
      </c>
      <c r="I7" s="26" t="n">
        <v>15</v>
      </c>
      <c r="J7" s="27" t="inlineStr">
        <is>
          <t>NY Overlap</t>
        </is>
      </c>
      <c r="K7" s="27" t="inlineStr">
        <is>
          <t>2026-W31</t>
        </is>
      </c>
      <c r="L7" s="27" t="inlineStr">
        <is>
          <t>2026-07</t>
        </is>
      </c>
      <c r="M7" s="27" t="inlineStr">
        <is>
          <t>13m 01s</t>
        </is>
      </c>
      <c r="N7" s="30" t="n">
        <v>780.6519999504089</v>
      </c>
      <c r="O7" s="28" t="n">
        <v>13.011</v>
      </c>
      <c r="P7" s="27" t="inlineStr">
        <is>
          <t>C. 5-15 min</t>
        </is>
      </c>
      <c r="Q7" s="28" t="n">
        <v>4012.18</v>
      </c>
      <c r="R7" s="28" t="n">
        <v>4012.16</v>
      </c>
      <c r="S7" s="28" t="n">
        <v>4016.77</v>
      </c>
      <c r="T7" s="28" t="n">
        <v>4007.13</v>
      </c>
      <c r="U7" s="28" t="n">
        <v>4012.13</v>
      </c>
      <c r="V7" s="27" t="inlineStr">
        <is>
          <t>Tightened</t>
        </is>
      </c>
      <c r="W7" s="30" t="n">
        <v>454</v>
      </c>
      <c r="X7" s="31" t="n">
        <v>4.59</v>
      </c>
      <c r="Y7" s="28" t="n">
        <v>1.1</v>
      </c>
      <c r="Z7" s="32" t="n">
        <v>-0.007</v>
      </c>
      <c r="AA7" s="27" t="inlineStr">
        <is>
          <t>D. -0.5R..0</t>
        </is>
      </c>
      <c r="AB7" s="31" t="n">
        <v>0.02</v>
      </c>
      <c r="AC7" s="31" t="n">
        <v>-0.05</v>
      </c>
      <c r="AD7" s="33" t="n">
        <v>-0.03</v>
      </c>
      <c r="AE7" s="27" t="inlineStr">
        <is>
          <t>Loss</t>
        </is>
      </c>
      <c r="AF7" s="27" t="inlineStr">
        <is>
          <t>Stop Loss</t>
        </is>
      </c>
      <c r="AG7" s="30" t="n">
        <v>2</v>
      </c>
      <c r="AH7" s="31" t="n">
        <v>4.26</v>
      </c>
      <c r="AI7" s="31" t="n">
        <v>-0.5</v>
      </c>
      <c r="AJ7" s="28" t="n">
        <v>0.928</v>
      </c>
      <c r="AK7" s="28" t="n">
        <v>-0.109</v>
      </c>
      <c r="AL7" s="28" t="n">
        <v>4007.92</v>
      </c>
      <c r="AM7" s="28" t="n">
        <v>4012.68</v>
      </c>
      <c r="AN7" s="27" t="inlineStr">
        <is>
          <t>6m 41s</t>
        </is>
      </c>
      <c r="AO7" s="27" t="inlineStr">
        <is>
          <t>5.2s</t>
        </is>
      </c>
      <c r="AP7" s="34" t="n">
        <v>10.9</v>
      </c>
      <c r="AQ7" s="28" t="n">
        <v>-0.007</v>
      </c>
      <c r="AR7" s="31" t="n">
        <v>4.29</v>
      </c>
      <c r="AS7" s="28" t="n">
        <v>0.895</v>
      </c>
      <c r="AT7" s="28" t="n">
        <v>0.1092</v>
      </c>
      <c r="AU7" s="28" t="n">
        <v>0.0042</v>
      </c>
      <c r="AV7" s="27" t="inlineStr">
        <is>
          <t>No</t>
        </is>
      </c>
      <c r="AW7" s="27" t="inlineStr">
        <is>
          <t>No</t>
        </is>
      </c>
      <c r="AX7" s="35" t="n">
        <v>0.472</v>
      </c>
      <c r="AY7" s="31" t="n">
        <v>971.71</v>
      </c>
      <c r="AZ7" s="31" t="n">
        <v>28.29</v>
      </c>
      <c r="BA7" s="34" t="n">
        <v>2.829</v>
      </c>
      <c r="BB7" s="36" t="n">
        <v>-6</v>
      </c>
      <c r="BC7" s="27" t="inlineStr">
        <is>
          <t>ticks</t>
        </is>
      </c>
      <c r="BD7" s="24" t="n">
        <v>1598</v>
      </c>
      <c r="BE7" s="24" t="n">
        <v>9</v>
      </c>
      <c r="BF7" s="27" t="inlineStr">
        <is>
          <t>3214929/XAUUSD/2026-07-29_55973757_XAUUSD_sell_loss</t>
        </is>
      </c>
      <c r="BG7" s="27" t="n"/>
    </row>
    <row r="8" ht="16" customHeight="1">
      <c r="A8" s="24" t="n">
        <v>7</v>
      </c>
      <c r="B8" s="26" t="n">
        <v>55955183</v>
      </c>
      <c r="C8" s="27" t="inlineStr">
        <is>
          <t>DAXEUR</t>
        </is>
      </c>
      <c r="D8" s="27" t="inlineStr">
        <is>
          <t>sell</t>
        </is>
      </c>
      <c r="E8" s="28" t="n">
        <v>0.01</v>
      </c>
      <c r="F8" s="29" t="n">
        <v>46232.62694253472</v>
      </c>
      <c r="G8" s="29" t="n">
        <v>46232.67703559028</v>
      </c>
      <c r="H8" s="27" t="inlineStr">
        <is>
          <t>Wednesday</t>
        </is>
      </c>
      <c r="I8" s="26" t="n">
        <v>15</v>
      </c>
      <c r="J8" s="27" t="inlineStr">
        <is>
          <t>NY Overlap</t>
        </is>
      </c>
      <c r="K8" s="27" t="inlineStr">
        <is>
          <t>2026-W31</t>
        </is>
      </c>
      <c r="L8" s="27" t="inlineStr">
        <is>
          <t>2026-07</t>
        </is>
      </c>
      <c r="M8" s="27" t="inlineStr">
        <is>
          <t>1h 12m</t>
        </is>
      </c>
      <c r="N8" s="30" t="n">
        <v>4328.039999961853</v>
      </c>
      <c r="O8" s="28" t="n">
        <v>72.134</v>
      </c>
      <c r="P8" s="27" t="inlineStr">
        <is>
          <t>F. 1-4 h</t>
        </is>
      </c>
      <c r="Q8" s="28" t="n">
        <v>25467.78</v>
      </c>
      <c r="R8" s="28" t="n">
        <v>25404.52</v>
      </c>
      <c r="S8" s="28" t="n">
        <v>25497.38</v>
      </c>
      <c r="T8" s="28" t="n">
        <v>25434.17</v>
      </c>
      <c r="U8" s="28" t="n">
        <v>25497.38</v>
      </c>
      <c r="V8" s="27" t="inlineStr">
        <is>
          <t>Unchanged</t>
        </is>
      </c>
      <c r="W8" s="30" t="n">
        <v>0</v>
      </c>
      <c r="X8" s="31" t="n">
        <v>3.41</v>
      </c>
      <c r="Y8" s="28" t="n">
        <v>1.138</v>
      </c>
      <c r="Z8" s="32" t="n">
        <v>2.111</v>
      </c>
      <c r="AA8" s="27" t="inlineStr">
        <is>
          <t>I. 2R..3R</t>
        </is>
      </c>
      <c r="AB8" s="31" t="n">
        <v>7.2</v>
      </c>
      <c r="AC8" s="31" t="n">
        <v>0</v>
      </c>
      <c r="AD8" s="33" t="n">
        <v>7.2</v>
      </c>
      <c r="AE8" s="27" t="inlineStr">
        <is>
          <t>Win</t>
        </is>
      </c>
      <c r="AF8" s="27" t="inlineStr">
        <is>
          <t>Take Profit</t>
        </is>
      </c>
      <c r="AG8" s="30" t="n">
        <v>6326</v>
      </c>
      <c r="AH8" s="31" t="n">
        <v>7.3</v>
      </c>
      <c r="AI8" s="31" t="n">
        <v>-3.48</v>
      </c>
      <c r="AJ8" s="28" t="n">
        <v>2.141</v>
      </c>
      <c r="AK8" s="28" t="n">
        <v>-1.021</v>
      </c>
      <c r="AL8" s="28" t="n">
        <v>25404.52</v>
      </c>
      <c r="AM8" s="28" t="n">
        <v>25497.98</v>
      </c>
      <c r="AN8" s="27" t="inlineStr">
        <is>
          <t>1h 12m</t>
        </is>
      </c>
      <c r="AO8" s="27" t="inlineStr">
        <is>
          <t>11m 06s</t>
        </is>
      </c>
      <c r="AP8" s="34" t="n">
        <v>102.1</v>
      </c>
      <c r="AQ8" s="28" t="n">
        <v>0.986</v>
      </c>
      <c r="AR8" s="31" t="n">
        <v>0.1</v>
      </c>
      <c r="AS8" s="28" t="n">
        <v>0.6768999999999999</v>
      </c>
      <c r="AT8" s="28" t="n">
        <v>1</v>
      </c>
      <c r="AU8" s="28" t="n">
        <v>0.6768999999999999</v>
      </c>
      <c r="AV8" s="27" t="inlineStr">
        <is>
          <t>No</t>
        </is>
      </c>
      <c r="AW8" s="27" t="inlineStr">
        <is>
          <t>No</t>
        </is>
      </c>
      <c r="AX8" s="35" t="n">
        <v>0.351</v>
      </c>
      <c r="AY8" s="31" t="n">
        <v>978.91</v>
      </c>
      <c r="AZ8" s="31" t="n">
        <v>21.09</v>
      </c>
      <c r="BA8" s="34" t="n">
        <v>2.109</v>
      </c>
      <c r="BB8" s="36" t="n">
        <v>1</v>
      </c>
      <c r="BC8" s="27" t="inlineStr">
        <is>
          <t>ticks</t>
        </is>
      </c>
      <c r="BD8" s="24" t="n">
        <v>6605</v>
      </c>
      <c r="BE8" s="24" t="n">
        <v>9</v>
      </c>
      <c r="BF8" s="27" t="inlineStr">
        <is>
          <t>3214929/DAXEUR/2026-07-29_55955183_DAXEUR_sell_win</t>
        </is>
      </c>
      <c r="BG8" s="27" t="n"/>
    </row>
    <row r="9" ht="16" customHeight="1">
      <c r="A9" s="24" t="n">
        <v>8</v>
      </c>
      <c r="B9" s="26" t="n">
        <v>55983574</v>
      </c>
      <c r="C9" s="27" t="inlineStr">
        <is>
          <t>DAXEUR</t>
        </is>
      </c>
      <c r="D9" s="27" t="inlineStr">
        <is>
          <t>sell</t>
        </is>
      </c>
      <c r="E9" s="28" t="n">
        <v>0.03</v>
      </c>
      <c r="F9" s="29" t="n">
        <v>46232.67934369213</v>
      </c>
      <c r="G9" s="29" t="n">
        <v>46232.68272192129</v>
      </c>
      <c r="H9" s="27" t="inlineStr">
        <is>
          <t>Wednesday</t>
        </is>
      </c>
      <c r="I9" s="26" t="n">
        <v>16</v>
      </c>
      <c r="J9" s="27" t="inlineStr">
        <is>
          <t>NY Overlap</t>
        </is>
      </c>
      <c r="K9" s="27" t="inlineStr">
        <is>
          <t>2026-W31</t>
        </is>
      </c>
      <c r="L9" s="27" t="inlineStr">
        <is>
          <t>2026-07</t>
        </is>
      </c>
      <c r="M9" s="27" t="inlineStr">
        <is>
          <t>4m 52s</t>
        </is>
      </c>
      <c r="N9" s="30" t="n">
        <v>291.8789999485016</v>
      </c>
      <c r="O9" s="28" t="n">
        <v>4.865</v>
      </c>
      <c r="P9" s="27" t="inlineStr">
        <is>
          <t>B. 1-5 min</t>
        </is>
      </c>
      <c r="Q9" s="28" t="n">
        <v>25414.18</v>
      </c>
      <c r="R9" s="28" t="n">
        <v>25435.02</v>
      </c>
      <c r="S9" s="28" t="n">
        <v>25428.27</v>
      </c>
      <c r="T9" s="28" t="n">
        <v>25400.78</v>
      </c>
      <c r="U9" s="28" t="n">
        <v>25434.19</v>
      </c>
      <c r="V9" s="27" t="inlineStr">
        <is>
          <t>Widened</t>
        </is>
      </c>
      <c r="W9" s="30" t="n">
        <v>-592</v>
      </c>
      <c r="X9" s="31" t="n">
        <v>4.88</v>
      </c>
      <c r="Y9" s="28" t="n">
        <v>0.951</v>
      </c>
      <c r="Z9" s="32" t="n">
        <v>-1.457</v>
      </c>
      <c r="AA9" s="27" t="inlineStr">
        <is>
          <t>B. -1.5R..-1R</t>
        </is>
      </c>
      <c r="AB9" s="31" t="n">
        <v>-7.11</v>
      </c>
      <c r="AC9" s="31" t="n">
        <v>0</v>
      </c>
      <c r="AD9" s="33" t="n">
        <v>-7.11</v>
      </c>
      <c r="AE9" s="27" t="inlineStr">
        <is>
          <t>Loss</t>
        </is>
      </c>
      <c r="AF9" s="27" t="inlineStr">
        <is>
          <t>Stop Loss</t>
        </is>
      </c>
      <c r="AG9" s="30" t="n">
        <v>-2084</v>
      </c>
      <c r="AH9" s="31" t="n">
        <v>0.23</v>
      </c>
      <c r="AI9" s="31" t="n">
        <v>-9.109999999999999</v>
      </c>
      <c r="AJ9" s="28" t="n">
        <v>0.047</v>
      </c>
      <c r="AK9" s="28" t="n">
        <v>-1.867</v>
      </c>
      <c r="AL9" s="28" t="n">
        <v>25413.52</v>
      </c>
      <c r="AM9" s="28" t="n">
        <v>25440.52</v>
      </c>
      <c r="AN9" s="27" t="inlineStr">
        <is>
          <t>7.0s</t>
        </is>
      </c>
      <c r="AO9" s="27" t="inlineStr">
        <is>
          <t>4m 53s</t>
        </is>
      </c>
      <c r="AP9" s="34" t="n">
        <v>186.7</v>
      </c>
      <c r="AQ9" s="28" t="n">
        <v>-30.913</v>
      </c>
      <c r="AR9" s="31" t="n">
        <v>7.34</v>
      </c>
      <c r="AS9" s="28" t="n">
        <v>0.0244</v>
      </c>
      <c r="AT9" s="28" t="n">
        <v>0.2037</v>
      </c>
      <c r="AU9" s="28" t="n">
        <v>-0.7719</v>
      </c>
      <c r="AV9" s="27" t="inlineStr">
        <is>
          <t>Yes</t>
        </is>
      </c>
      <c r="AW9" s="27" t="inlineStr">
        <is>
          <t>No</t>
        </is>
      </c>
      <c r="AX9" s="35" t="n">
        <v>0.499</v>
      </c>
      <c r="AY9" s="31" t="n">
        <v>971.8</v>
      </c>
      <c r="AZ9" s="31" t="n">
        <v>28.2</v>
      </c>
      <c r="BA9" s="34" t="n">
        <v>2.82</v>
      </c>
      <c r="BB9" s="36" t="n">
        <v>-1</v>
      </c>
      <c r="BC9" s="27" t="inlineStr">
        <is>
          <t>ticks</t>
        </is>
      </c>
      <c r="BD9" s="24" t="n">
        <v>376</v>
      </c>
      <c r="BE9" s="24" t="n">
        <v>9</v>
      </c>
      <c r="BF9" s="27" t="inlineStr">
        <is>
          <t>3214929/DAXEUR/2026-07-29_55983574_DAXEUR_sell_loss</t>
        </is>
      </c>
      <c r="BG9" s="27" t="n"/>
    </row>
    <row r="10" ht="16" customHeight="1">
      <c r="A10" s="24" t="n">
        <v>9</v>
      </c>
      <c r="B10" s="26" t="n">
        <v>55984899</v>
      </c>
      <c r="C10" s="27" t="inlineStr">
        <is>
          <t>DAXEUR</t>
        </is>
      </c>
      <c r="D10" s="27" t="inlineStr">
        <is>
          <t>sell</t>
        </is>
      </c>
      <c r="E10" s="28" t="n">
        <v>0.03</v>
      </c>
      <c r="F10" s="29" t="n">
        <v>46232.68215810185</v>
      </c>
      <c r="G10" s="29" t="n">
        <v>46232.68273403935</v>
      </c>
      <c r="H10" s="27" t="inlineStr">
        <is>
          <t>Wednesday</t>
        </is>
      </c>
      <c r="I10" s="26" t="n">
        <v>16</v>
      </c>
      <c r="J10" s="27" t="inlineStr">
        <is>
          <t>NY Overlap</t>
        </is>
      </c>
      <c r="K10" s="27" t="inlineStr">
        <is>
          <t>2026-W31</t>
        </is>
      </c>
      <c r="L10" s="27" t="inlineStr">
        <is>
          <t>2026-07</t>
        </is>
      </c>
      <c r="M10" s="27" t="inlineStr">
        <is>
          <t>50s</t>
        </is>
      </c>
      <c r="N10" s="30" t="n">
        <v>49.76099991798401</v>
      </c>
      <c r="O10" s="28" t="n">
        <v>0.829</v>
      </c>
      <c r="P10" s="27" t="inlineStr">
        <is>
          <t>A. &lt; 1 min</t>
        </is>
      </c>
      <c r="Q10" s="28" t="n">
        <v>25426.68</v>
      </c>
      <c r="R10" s="28" t="n">
        <v>25440.52</v>
      </c>
      <c r="S10" s="28" t="n">
        <v>25438.21</v>
      </c>
      <c r="T10" s="28" t="n">
        <v>25412.95</v>
      </c>
      <c r="U10" s="28" t="n">
        <v>25438.21</v>
      </c>
      <c r="V10" s="27" t="inlineStr">
        <is>
          <t>Unchanged</t>
        </is>
      </c>
      <c r="W10" s="30" t="n">
        <v>0</v>
      </c>
      <c r="X10" s="31" t="n">
        <v>3.99</v>
      </c>
      <c r="Y10" s="28" t="n">
        <v>1.19</v>
      </c>
      <c r="Z10" s="32" t="n">
        <v>-1.183</v>
      </c>
      <c r="AA10" s="27" t="inlineStr">
        <is>
          <t>B. -1.5R..-1R</t>
        </is>
      </c>
      <c r="AB10" s="31" t="n">
        <v>-4.72</v>
      </c>
      <c r="AC10" s="31" t="n">
        <v>0</v>
      </c>
      <c r="AD10" s="33" t="n">
        <v>-4.72</v>
      </c>
      <c r="AE10" s="27" t="inlineStr">
        <is>
          <t>Loss</t>
        </is>
      </c>
      <c r="AF10" s="27" t="inlineStr">
        <is>
          <t>Stop Loss</t>
        </is>
      </c>
      <c r="AG10" s="30" t="n">
        <v>-1384</v>
      </c>
      <c r="AH10" s="31" t="n">
        <v>0.23</v>
      </c>
      <c r="AI10" s="31" t="n">
        <v>-4.79</v>
      </c>
      <c r="AJ10" s="28" t="n">
        <v>0.058</v>
      </c>
      <c r="AK10" s="28" t="n">
        <v>-1.201</v>
      </c>
      <c r="AL10" s="28" t="n">
        <v>25426.02</v>
      </c>
      <c r="AM10" s="28" t="n">
        <v>25440.52</v>
      </c>
      <c r="AN10" s="27" t="inlineStr">
        <is>
          <t>10s</t>
        </is>
      </c>
      <c r="AO10" s="27" t="inlineStr">
        <is>
          <t>50s</t>
        </is>
      </c>
      <c r="AP10" s="34" t="n">
        <v>120.1</v>
      </c>
      <c r="AQ10" s="28" t="n">
        <v>-20.522</v>
      </c>
      <c r="AR10" s="31" t="n">
        <v>4.95</v>
      </c>
      <c r="AS10" s="28" t="n">
        <v>0.0455</v>
      </c>
      <c r="AT10" s="28" t="n">
        <v>0</v>
      </c>
      <c r="AU10" s="28" t="n">
        <v>-0.9545</v>
      </c>
      <c r="AV10" s="27" t="inlineStr">
        <is>
          <t>Yes</t>
        </is>
      </c>
      <c r="AW10" s="27" t="inlineStr">
        <is>
          <t>No</t>
        </is>
      </c>
      <c r="AX10" s="35" t="n">
        <v>0.411</v>
      </c>
      <c r="AY10" s="31" t="n">
        <v>967.08</v>
      </c>
      <c r="AZ10" s="31" t="n">
        <v>32.92</v>
      </c>
      <c r="BA10" s="34" t="n">
        <v>3.292</v>
      </c>
      <c r="BB10" s="36" t="n">
        <v>-2</v>
      </c>
      <c r="BC10" s="27" t="inlineStr">
        <is>
          <t>ticks</t>
        </is>
      </c>
      <c r="BD10" s="24" t="n">
        <v>60</v>
      </c>
      <c r="BE10" s="24" t="n">
        <v>9</v>
      </c>
      <c r="BF10" s="27" t="inlineStr">
        <is>
          <t>3214929/DAXEUR/2026-07-29_55984899_DAXEUR_sell_loss</t>
        </is>
      </c>
      <c r="BG10" s="27" t="n"/>
    </row>
    <row r="11" ht="16" customHeight="1">
      <c r="A11" s="24" t="n">
        <v>10</v>
      </c>
      <c r="B11" s="26" t="n">
        <v>55957591</v>
      </c>
      <c r="C11" s="27" t="inlineStr">
        <is>
          <t>DAXEUR</t>
        </is>
      </c>
      <c r="D11" s="27" t="inlineStr">
        <is>
          <t>sell</t>
        </is>
      </c>
      <c r="E11" s="28" t="n">
        <v>0.02</v>
      </c>
      <c r="F11" s="29" t="n">
        <v>46232.63172231481</v>
      </c>
      <c r="G11" s="29" t="n">
        <v>46232.69019327546</v>
      </c>
      <c r="H11" s="27" t="inlineStr">
        <is>
          <t>Wednesday</t>
        </is>
      </c>
      <c r="I11" s="26" t="n">
        <v>15</v>
      </c>
      <c r="J11" s="27" t="inlineStr">
        <is>
          <t>NY Overlap</t>
        </is>
      </c>
      <c r="K11" s="27" t="inlineStr">
        <is>
          <t>2026-W31</t>
        </is>
      </c>
      <c r="L11" s="27" t="inlineStr">
        <is>
          <t>2026-07</t>
        </is>
      </c>
      <c r="M11" s="27" t="inlineStr">
        <is>
          <t>1h 24m</t>
        </is>
      </c>
      <c r="N11" s="30" t="n">
        <v>5051.890999794006</v>
      </c>
      <c r="O11" s="28" t="n">
        <v>84.19799999999999</v>
      </c>
      <c r="P11" s="27" t="inlineStr">
        <is>
          <t>F. 1-4 h</t>
        </is>
      </c>
      <c r="Q11" s="28" t="n">
        <v>25482.78</v>
      </c>
      <c r="R11" s="28" t="n">
        <v>25443.62</v>
      </c>
      <c r="S11" s="28" t="n">
        <v>25500.68</v>
      </c>
      <c r="T11" s="28" t="n">
        <v>25463.09</v>
      </c>
      <c r="U11" s="28" t="n">
        <v>25500.68</v>
      </c>
      <c r="V11" s="27" t="inlineStr">
        <is>
          <t>Unchanged</t>
        </is>
      </c>
      <c r="W11" s="30" t="n">
        <v>0</v>
      </c>
      <c r="X11" s="31" t="n">
        <v>4.13</v>
      </c>
      <c r="Y11" s="28" t="n">
        <v>1.102</v>
      </c>
      <c r="Z11" s="32" t="n">
        <v>2.157</v>
      </c>
      <c r="AA11" s="27" t="inlineStr">
        <is>
          <t>I. 2R..3R</t>
        </is>
      </c>
      <c r="AB11" s="31" t="n">
        <v>8.91</v>
      </c>
      <c r="AC11" s="31" t="n">
        <v>0</v>
      </c>
      <c r="AD11" s="33" t="n">
        <v>8.91</v>
      </c>
      <c r="AE11" s="27" t="inlineStr">
        <is>
          <t>Win</t>
        </is>
      </c>
      <c r="AF11" s="27" t="inlineStr">
        <is>
          <t>Expert</t>
        </is>
      </c>
      <c r="AG11" s="30" t="n">
        <v>3916</v>
      </c>
      <c r="AH11" s="31" t="n">
        <v>18.52</v>
      </c>
      <c r="AI11" s="31" t="n">
        <v>-3.51</v>
      </c>
      <c r="AJ11" s="28" t="n">
        <v>4.484</v>
      </c>
      <c r="AK11" s="28" t="n">
        <v>-0.85</v>
      </c>
      <c r="AL11" s="28" t="n">
        <v>25402.52</v>
      </c>
      <c r="AM11" s="28" t="n">
        <v>25497.98</v>
      </c>
      <c r="AN11" s="27" t="inlineStr">
        <is>
          <t>1h 05m</t>
        </is>
      </c>
      <c r="AO11" s="27" t="inlineStr">
        <is>
          <t>4m 13s</t>
        </is>
      </c>
      <c r="AP11" s="34" t="n">
        <v>85</v>
      </c>
      <c r="AQ11" s="28" t="n">
        <v>0.481</v>
      </c>
      <c r="AR11" s="31" t="n">
        <v>9.609999999999999</v>
      </c>
      <c r="AS11" s="28" t="n">
        <v>0.8408</v>
      </c>
      <c r="AT11" s="28" t="n">
        <v>0.5695</v>
      </c>
      <c r="AU11" s="28" t="n">
        <v>0.4102</v>
      </c>
      <c r="AV11" s="27" t="inlineStr">
        <is>
          <t>No</t>
        </is>
      </c>
      <c r="AW11" s="27" t="inlineStr">
        <is>
          <t>No</t>
        </is>
      </c>
      <c r="AX11" s="35" t="n">
        <v>0.427</v>
      </c>
      <c r="AY11" s="31" t="n">
        <v>975.99</v>
      </c>
      <c r="AZ11" s="31" t="n">
        <v>24.01</v>
      </c>
      <c r="BA11" s="34" t="n">
        <v>2.401</v>
      </c>
      <c r="BB11" s="36" t="n">
        <v>1</v>
      </c>
      <c r="BC11" s="27" t="inlineStr">
        <is>
          <t>ticks</t>
        </is>
      </c>
      <c r="BD11" s="24" t="n">
        <v>7368</v>
      </c>
      <c r="BE11" s="24" t="n">
        <v>9</v>
      </c>
      <c r="BF11" s="27" t="inlineStr">
        <is>
          <t>3214929/DAXEUR/2026-07-29_55957591_DAXEUR_sell_win</t>
        </is>
      </c>
      <c r="BG11" s="27" t="n"/>
    </row>
    <row r="12" ht="16" customHeight="1">
      <c r="A12" s="24" t="n">
        <v>11</v>
      </c>
      <c r="B12" s="26" t="n">
        <v>55988453</v>
      </c>
      <c r="C12" s="27" t="inlineStr">
        <is>
          <t>XAUUSD</t>
        </is>
      </c>
      <c r="D12" s="27" t="inlineStr">
        <is>
          <t>sell</t>
        </is>
      </c>
      <c r="E12" s="28" t="n">
        <v>0.01</v>
      </c>
      <c r="F12" s="29" t="n">
        <v>46232.68890527778</v>
      </c>
      <c r="G12" s="29" t="n">
        <v>46232.69032974537</v>
      </c>
      <c r="H12" s="27" t="inlineStr">
        <is>
          <t>Wednesday</t>
        </is>
      </c>
      <c r="I12" s="26" t="n">
        <v>16</v>
      </c>
      <c r="J12" s="27" t="inlineStr">
        <is>
          <t>NY Overlap</t>
        </is>
      </c>
      <c r="K12" s="27" t="inlineStr">
        <is>
          <t>2026-W31</t>
        </is>
      </c>
      <c r="L12" s="27" t="inlineStr">
        <is>
          <t>2026-07</t>
        </is>
      </c>
      <c r="M12" s="27" t="inlineStr">
        <is>
          <t>2m 03s</t>
        </is>
      </c>
      <c r="N12" s="30" t="n">
        <v>123.074000120163</v>
      </c>
      <c r="O12" s="28" t="n">
        <v>2.051</v>
      </c>
      <c r="P12" s="27" t="inlineStr">
        <is>
          <t>B. 1-5 min</t>
        </is>
      </c>
      <c r="Q12" s="28" t="n">
        <v>4015.12</v>
      </c>
      <c r="R12" s="28" t="n">
        <v>4018.69</v>
      </c>
      <c r="S12" s="28" t="n">
        <v>4018.63</v>
      </c>
      <c r="T12" s="28" t="n">
        <v>4011.21</v>
      </c>
      <c r="U12" s="28" t="n">
        <v>4018.63</v>
      </c>
      <c r="V12" s="27" t="inlineStr">
        <is>
          <t>Unchanged</t>
        </is>
      </c>
      <c r="W12" s="30" t="n">
        <v>0</v>
      </c>
      <c r="X12" s="31" t="n">
        <v>3.51</v>
      </c>
      <c r="Y12" s="28" t="n">
        <v>1.114</v>
      </c>
      <c r="Z12" s="32" t="n">
        <v>-1.031</v>
      </c>
      <c r="AA12" s="27" t="inlineStr">
        <is>
          <t>B. -1.5R..-1R</t>
        </is>
      </c>
      <c r="AB12" s="31" t="n">
        <v>-3.57</v>
      </c>
      <c r="AC12" s="31" t="n">
        <v>-0.05</v>
      </c>
      <c r="AD12" s="33" t="n">
        <v>-3.62</v>
      </c>
      <c r="AE12" s="27" t="inlineStr">
        <is>
          <t>Loss</t>
        </is>
      </c>
      <c r="AF12" s="27" t="inlineStr">
        <is>
          <t>Stop Loss</t>
        </is>
      </c>
      <c r="AG12" s="30" t="n">
        <v>-357</v>
      </c>
      <c r="AH12" s="31" t="n">
        <v>0</v>
      </c>
      <c r="AI12" s="31" t="n">
        <v>-3.83</v>
      </c>
      <c r="AJ12" s="28" t="n">
        <v>0</v>
      </c>
      <c r="AK12" s="28" t="n">
        <v>-1.091</v>
      </c>
      <c r="AL12" s="28" t="n">
        <v>4015.21</v>
      </c>
      <c r="AM12" s="28" t="n">
        <v>4018.95</v>
      </c>
      <c r="AN12" s="27" t="inlineStr">
        <is>
          <t>18s</t>
        </is>
      </c>
      <c r="AO12" s="27" t="inlineStr">
        <is>
          <t>2m 04s</t>
        </is>
      </c>
      <c r="AP12" s="34" t="n">
        <v>109.1</v>
      </c>
      <c r="AQ12" s="28" t="n"/>
      <c r="AR12" s="31" t="n"/>
      <c r="AS12" s="28" t="n">
        <v>-0.0241</v>
      </c>
      <c r="AT12" s="28" t="n">
        <v>0.06950000000000001</v>
      </c>
      <c r="AU12" s="28" t="n">
        <v>-0.9545</v>
      </c>
      <c r="AV12" s="27" t="inlineStr">
        <is>
          <t>Yes</t>
        </is>
      </c>
      <c r="AW12" s="27" t="inlineStr">
        <is>
          <t>No</t>
        </is>
      </c>
      <c r="AX12" s="35" t="n">
        <v>0.36</v>
      </c>
      <c r="AY12" s="31" t="n">
        <v>972.37</v>
      </c>
      <c r="AZ12" s="31" t="n">
        <v>27.63</v>
      </c>
      <c r="BA12" s="34" t="n">
        <v>2.763</v>
      </c>
      <c r="BB12" s="36" t="n">
        <v>-1</v>
      </c>
      <c r="BC12" s="27" t="inlineStr">
        <is>
          <t>ticks</t>
        </is>
      </c>
      <c r="BD12" s="24" t="n">
        <v>249</v>
      </c>
      <c r="BE12" s="24" t="n">
        <v>9</v>
      </c>
      <c r="BF12" s="27" t="inlineStr">
        <is>
          <t>3214929/XAUUSD/2026-07-29_55988453_XAUUSD_sell_loss</t>
        </is>
      </c>
      <c r="BG12" s="27" t="n"/>
    </row>
    <row r="13" ht="16" customHeight="1">
      <c r="A13" s="24" t="n">
        <v>12</v>
      </c>
      <c r="B13" s="26" t="n">
        <v>55992315</v>
      </c>
      <c r="C13" s="27" t="inlineStr">
        <is>
          <t>NIKJPY</t>
        </is>
      </c>
      <c r="D13" s="27" t="inlineStr">
        <is>
          <t>sell</t>
        </is>
      </c>
      <c r="E13" s="28" t="n">
        <v>0.11</v>
      </c>
      <c r="F13" s="29" t="n">
        <v>46232.69944467593</v>
      </c>
      <c r="G13" s="29" t="n">
        <v>46232.70327006945</v>
      </c>
      <c r="H13" s="27" t="inlineStr">
        <is>
          <t>Wednesday</t>
        </is>
      </c>
      <c r="I13" s="26" t="n">
        <v>16</v>
      </c>
      <c r="J13" s="27" t="inlineStr">
        <is>
          <t>NY Overlap</t>
        </is>
      </c>
      <c r="K13" s="27" t="inlineStr">
        <is>
          <t>2026-W31</t>
        </is>
      </c>
      <c r="L13" s="27" t="inlineStr">
        <is>
          <t>2026-07</t>
        </is>
      </c>
      <c r="M13" s="27" t="inlineStr">
        <is>
          <t>5m 31s</t>
        </is>
      </c>
      <c r="N13" s="30" t="n">
        <v>330.5139999389648</v>
      </c>
      <c r="O13" s="28" t="n">
        <v>5.509</v>
      </c>
      <c r="P13" s="27" t="inlineStr">
        <is>
          <t>C. 5-15 min</t>
        </is>
      </c>
      <c r="Q13" s="28" t="n">
        <v>61578.99999999999</v>
      </c>
      <c r="R13" s="28" t="n">
        <v>61667</v>
      </c>
      <c r="S13" s="28" t="n">
        <v>61719</v>
      </c>
      <c r="T13" s="28" t="n">
        <v>61423</v>
      </c>
      <c r="U13" s="28" t="n">
        <v>61719</v>
      </c>
      <c r="V13" s="27" t="inlineStr">
        <is>
          <t>Unchanged</t>
        </is>
      </c>
      <c r="W13" s="30" t="n">
        <v>0</v>
      </c>
      <c r="X13" s="31" t="n">
        <v>9.67</v>
      </c>
      <c r="Y13" s="28" t="n">
        <v>1.114</v>
      </c>
      <c r="Z13" s="32" t="n">
        <v>-0.611</v>
      </c>
      <c r="AA13" s="27" t="inlineStr">
        <is>
          <t>C. -1R..-0.5R</t>
        </is>
      </c>
      <c r="AB13" s="31" t="n">
        <v>-5.91</v>
      </c>
      <c r="AC13" s="31" t="n">
        <v>0</v>
      </c>
      <c r="AD13" s="33" t="n">
        <v>-5.91</v>
      </c>
      <c r="AE13" s="27" t="inlineStr">
        <is>
          <t>Loss</t>
        </is>
      </c>
      <c r="AF13" s="27" t="inlineStr">
        <is>
          <t>Expert</t>
        </is>
      </c>
      <c r="AG13" s="30" t="n">
        <v>-88</v>
      </c>
      <c r="AH13" s="31" t="n">
        <v>0.35</v>
      </c>
      <c r="AI13" s="31" t="n">
        <v>-6.22</v>
      </c>
      <c r="AJ13" s="28" t="n">
        <v>0.036</v>
      </c>
      <c r="AK13" s="28" t="n">
        <v>-0.643</v>
      </c>
      <c r="AL13" s="28" t="n">
        <v>61574</v>
      </c>
      <c r="AM13" s="28" t="n">
        <v>61669</v>
      </c>
      <c r="AN13" s="27" t="inlineStr">
        <is>
          <t>29s</t>
        </is>
      </c>
      <c r="AO13" s="27" t="inlineStr">
        <is>
          <t>3m 07s</t>
        </is>
      </c>
      <c r="AP13" s="34" t="n">
        <v>64.3</v>
      </c>
      <c r="AQ13" s="28" t="n">
        <v>-16.886</v>
      </c>
      <c r="AR13" s="31" t="n">
        <v>6.26</v>
      </c>
      <c r="AS13" s="28" t="n">
        <v>0.0526</v>
      </c>
      <c r="AT13" s="28" t="n">
        <v>0.0211</v>
      </c>
      <c r="AU13" s="28" t="n">
        <v>-0.9263</v>
      </c>
      <c r="AV13" s="27" t="inlineStr">
        <is>
          <t>Yes</t>
        </is>
      </c>
      <c r="AW13" s="27" t="inlineStr">
        <is>
          <t>No</t>
        </is>
      </c>
      <c r="AX13" s="35" t="n">
        <v>0.994</v>
      </c>
      <c r="AY13" s="31" t="n">
        <v>966.46</v>
      </c>
      <c r="AZ13" s="31" t="n">
        <v>33.54</v>
      </c>
      <c r="BA13" s="34" t="n">
        <v>3.354</v>
      </c>
      <c r="BB13" s="36" t="n">
        <v>-2</v>
      </c>
      <c r="BC13" s="27" t="inlineStr">
        <is>
          <t>ticks</t>
        </is>
      </c>
      <c r="BD13" s="24" t="n">
        <v>476</v>
      </c>
      <c r="BE13" s="24" t="n">
        <v>9</v>
      </c>
      <c r="BF13" s="27" t="inlineStr">
        <is>
          <t>3214929/NIKJPY/2026-07-29_55992315_NIKJPY_sell_loss</t>
        </is>
      </c>
      <c r="BG13" s="27" t="n"/>
    </row>
    <row r="14" ht="16" customHeight="1">
      <c r="A14" s="24" t="n">
        <v>13</v>
      </c>
      <c r="B14" s="26" t="n">
        <v>55991304</v>
      </c>
      <c r="C14" s="27" t="inlineStr">
        <is>
          <t>XAUUSD</t>
        </is>
      </c>
      <c r="D14" s="27" t="inlineStr">
        <is>
          <t>sell</t>
        </is>
      </c>
      <c r="E14" s="28" t="n">
        <v>0.02</v>
      </c>
      <c r="F14" s="29" t="n">
        <v>46232.70274861111</v>
      </c>
      <c r="G14" s="29" t="n">
        <v>46232.70327190972</v>
      </c>
      <c r="H14" s="27" t="inlineStr">
        <is>
          <t>Wednesday</t>
        </is>
      </c>
      <c r="I14" s="26" t="n">
        <v>16</v>
      </c>
      <c r="J14" s="27" t="inlineStr">
        <is>
          <t>NY Overlap</t>
        </is>
      </c>
      <c r="K14" s="27" t="inlineStr">
        <is>
          <t>2026-W31</t>
        </is>
      </c>
      <c r="L14" s="27" t="inlineStr">
        <is>
          <t>2026-07</t>
        </is>
      </c>
      <c r="M14" s="27" t="inlineStr">
        <is>
          <t>45s</t>
        </is>
      </c>
      <c r="N14" s="30" t="n">
        <v>45.21300005912781</v>
      </c>
      <c r="O14" s="28" t="n">
        <v>0.754</v>
      </c>
      <c r="P14" s="27" t="inlineStr">
        <is>
          <t>A. &lt; 1 min</t>
        </is>
      </c>
      <c r="Q14" s="28" t="n">
        <v>4020.33</v>
      </c>
      <c r="R14" s="28" t="n">
        <v>4023.24</v>
      </c>
      <c r="S14" s="28" t="n">
        <v>4024.88</v>
      </c>
      <c r="T14" s="28" t="n">
        <v>4015</v>
      </c>
      <c r="U14" s="28" t="n">
        <v>4024.88</v>
      </c>
      <c r="V14" s="27" t="inlineStr">
        <is>
          <t>Unchanged</t>
        </is>
      </c>
      <c r="W14" s="30" t="n">
        <v>0</v>
      </c>
      <c r="X14" s="31" t="n">
        <v>9.1</v>
      </c>
      <c r="Y14" s="28" t="n">
        <v>1.171</v>
      </c>
      <c r="Z14" s="32" t="n">
        <v>-0.649</v>
      </c>
      <c r="AA14" s="27" t="inlineStr">
        <is>
          <t>C. -1R..-0.5R</t>
        </is>
      </c>
      <c r="AB14" s="31" t="n">
        <v>-5.82</v>
      </c>
      <c r="AC14" s="31" t="n">
        <v>-0.09</v>
      </c>
      <c r="AD14" s="33" t="n">
        <v>-5.91</v>
      </c>
      <c r="AE14" s="27" t="inlineStr">
        <is>
          <t>Loss</t>
        </is>
      </c>
      <c r="AF14" s="27" t="inlineStr">
        <is>
          <t>Expert</t>
        </is>
      </c>
      <c r="AG14" s="30" t="n">
        <v>-291</v>
      </c>
      <c r="AH14" s="31" t="n">
        <v>0</v>
      </c>
      <c r="AI14" s="31" t="n">
        <v>-5.82</v>
      </c>
      <c r="AJ14" s="28" t="n">
        <v>0</v>
      </c>
      <c r="AK14" s="28" t="n">
        <v>-0.64</v>
      </c>
      <c r="AL14" s="28" t="n">
        <v>4020.33</v>
      </c>
      <c r="AM14" s="28" t="n">
        <v>4023.24</v>
      </c>
      <c r="AN14" s="27" t="inlineStr">
        <is>
          <t>0.4s</t>
        </is>
      </c>
      <c r="AO14" s="27" t="inlineStr">
        <is>
          <t>45s</t>
        </is>
      </c>
      <c r="AP14" s="34" t="n">
        <v>64</v>
      </c>
      <c r="AQ14" s="28" t="n"/>
      <c r="AR14" s="31" t="n"/>
      <c r="AS14" s="28" t="n">
        <v>0</v>
      </c>
      <c r="AT14" s="28" t="n">
        <v>0</v>
      </c>
      <c r="AU14" s="28" t="n">
        <v>-1</v>
      </c>
      <c r="AV14" s="27" t="inlineStr">
        <is>
          <t>Yes</t>
        </is>
      </c>
      <c r="AW14" s="27" t="inlineStr">
        <is>
          <t>No</t>
        </is>
      </c>
      <c r="AX14" s="35" t="n">
        <v>0.9419999999999999</v>
      </c>
      <c r="AY14" s="31" t="n">
        <v>960.55</v>
      </c>
      <c r="AZ14" s="31" t="n">
        <v>39.45</v>
      </c>
      <c r="BA14" s="34" t="n">
        <v>3.945</v>
      </c>
      <c r="BB14" s="36" t="n">
        <v>-3</v>
      </c>
      <c r="BC14" s="27" t="inlineStr">
        <is>
          <t>ticks</t>
        </is>
      </c>
      <c r="BD14" s="24" t="n">
        <v>99</v>
      </c>
      <c r="BE14" s="24" t="n">
        <v>9</v>
      </c>
      <c r="BF14" s="27" t="inlineStr">
        <is>
          <t>3214929/XAUUSD/2026-07-29_55991304_XAUUSD_sell_loss</t>
        </is>
      </c>
      <c r="BG14" s="27" t="n"/>
    </row>
    <row r="15" ht="16" customHeight="1">
      <c r="A15" s="24" t="n">
        <v>14</v>
      </c>
      <c r="B15" s="26" t="n">
        <v>55997123</v>
      </c>
      <c r="C15" s="27" t="inlineStr">
        <is>
          <t>XAUUSD</t>
        </is>
      </c>
      <c r="D15" s="27" t="inlineStr">
        <is>
          <t>buy</t>
        </is>
      </c>
      <c r="E15" s="28" t="n">
        <v>0.01</v>
      </c>
      <c r="F15" s="29" t="n">
        <v>46232.70588581019</v>
      </c>
      <c r="G15" s="29" t="n">
        <v>46232.70764290509</v>
      </c>
      <c r="H15" s="27" t="inlineStr">
        <is>
          <t>Wednesday</t>
        </is>
      </c>
      <c r="I15" s="26" t="n">
        <v>16</v>
      </c>
      <c r="J15" s="27" t="inlineStr">
        <is>
          <t>NY Overlap</t>
        </is>
      </c>
      <c r="K15" s="27" t="inlineStr">
        <is>
          <t>2026-W31</t>
        </is>
      </c>
      <c r="L15" s="27" t="inlineStr">
        <is>
          <t>2026-07</t>
        </is>
      </c>
      <c r="M15" s="27" t="inlineStr">
        <is>
          <t>2m 32s</t>
        </is>
      </c>
      <c r="N15" s="30" t="n">
        <v>151.8129999637604</v>
      </c>
      <c r="O15" s="28" t="n">
        <v>2.53</v>
      </c>
      <c r="P15" s="27" t="inlineStr">
        <is>
          <t>B. 1-5 min</t>
        </is>
      </c>
      <c r="Q15" s="28" t="n">
        <v>4030.619999999999</v>
      </c>
      <c r="R15" s="28" t="n">
        <v>4026.699999999999</v>
      </c>
      <c r="S15" s="28" t="n">
        <v>4027.37</v>
      </c>
      <c r="T15" s="28" t="n">
        <v>4034.69</v>
      </c>
      <c r="U15" s="28" t="n">
        <v>4026.7</v>
      </c>
      <c r="V15" s="27" t="inlineStr">
        <is>
          <t>Widened</t>
        </is>
      </c>
      <c r="W15" s="30" t="n">
        <v>-67</v>
      </c>
      <c r="X15" s="31" t="n">
        <v>3.25</v>
      </c>
      <c r="Y15" s="28" t="n">
        <v>1.252</v>
      </c>
      <c r="Z15" s="32" t="n">
        <v>-1.222</v>
      </c>
      <c r="AA15" s="27" t="inlineStr">
        <is>
          <t>B. -1.5R..-1R</t>
        </is>
      </c>
      <c r="AB15" s="31" t="n">
        <v>-3.92</v>
      </c>
      <c r="AC15" s="31" t="n">
        <v>-0.05</v>
      </c>
      <c r="AD15" s="33" t="n">
        <v>-3.97</v>
      </c>
      <c r="AE15" s="27" t="inlineStr">
        <is>
          <t>Loss</t>
        </is>
      </c>
      <c r="AF15" s="27" t="inlineStr">
        <is>
          <t>Stop Loss</t>
        </is>
      </c>
      <c r="AG15" s="30" t="n">
        <v>-392</v>
      </c>
      <c r="AH15" s="31" t="n">
        <v>2.11</v>
      </c>
      <c r="AI15" s="31" t="n">
        <v>-3.92</v>
      </c>
      <c r="AJ15" s="28" t="n">
        <v>0.649</v>
      </c>
      <c r="AK15" s="28" t="n">
        <v>-1.206</v>
      </c>
      <c r="AL15" s="28" t="n">
        <v>4032.73</v>
      </c>
      <c r="AM15" s="28" t="n">
        <v>4026.7</v>
      </c>
      <c r="AN15" s="27" t="inlineStr">
        <is>
          <t>39s</t>
        </is>
      </c>
      <c r="AO15" s="27" t="inlineStr">
        <is>
          <t>2m 32s</t>
        </is>
      </c>
      <c r="AP15" s="34" t="n">
        <v>120.6</v>
      </c>
      <c r="AQ15" s="28" t="n">
        <v>-1.882</v>
      </c>
      <c r="AR15" s="31" t="n">
        <v>6.08</v>
      </c>
      <c r="AS15" s="28" t="n">
        <v>0.3499</v>
      </c>
      <c r="AT15" s="28" t="n">
        <v>-0</v>
      </c>
      <c r="AU15" s="28" t="n">
        <v>-0.6501</v>
      </c>
      <c r="AV15" s="27" t="inlineStr">
        <is>
          <t>Yes</t>
        </is>
      </c>
      <c r="AW15" s="27" t="inlineStr">
        <is>
          <t>No</t>
        </is>
      </c>
      <c r="AX15" s="35" t="n">
        <v>0.338</v>
      </c>
      <c r="AY15" s="31" t="n">
        <v>956.58</v>
      </c>
      <c r="AZ15" s="31" t="n">
        <v>43.42</v>
      </c>
      <c r="BA15" s="34" t="n">
        <v>4.342</v>
      </c>
      <c r="BB15" s="36" t="n">
        <v>-4</v>
      </c>
      <c r="BC15" s="27" t="inlineStr">
        <is>
          <t>ticks</t>
        </is>
      </c>
      <c r="BD15" s="24" t="n">
        <v>386</v>
      </c>
      <c r="BE15" s="24" t="n">
        <v>9</v>
      </c>
      <c r="BF15" s="27" t="inlineStr">
        <is>
          <t>3214929/XAUUSD/2026-07-29_55997123_XAUUSD_buy_loss</t>
        </is>
      </c>
      <c r="BG15" s="27" t="n"/>
    </row>
    <row r="16" ht="16" customHeight="1">
      <c r="A16" s="24" t="n">
        <v>15</v>
      </c>
      <c r="B16" s="26" t="n">
        <v>56010530</v>
      </c>
      <c r="C16" s="27" t="inlineStr">
        <is>
          <t>XAUUSD</t>
        </is>
      </c>
      <c r="D16" s="27" t="inlineStr">
        <is>
          <t>buy</t>
        </is>
      </c>
      <c r="E16" s="28" t="n">
        <v>0.01</v>
      </c>
      <c r="F16" s="29" t="n">
        <v>46232.72826787037</v>
      </c>
      <c r="G16" s="29" t="n">
        <v>46232.7364478125</v>
      </c>
      <c r="H16" s="27" t="inlineStr">
        <is>
          <t>Wednesday</t>
        </is>
      </c>
      <c r="I16" s="26" t="n">
        <v>17</v>
      </c>
      <c r="J16" s="27" t="inlineStr">
        <is>
          <t>NY Late</t>
        </is>
      </c>
      <c r="K16" s="27" t="inlineStr">
        <is>
          <t>2026-W31</t>
        </is>
      </c>
      <c r="L16" s="27" t="inlineStr">
        <is>
          <t>2026-07</t>
        </is>
      </c>
      <c r="M16" s="27" t="inlineStr">
        <is>
          <t>11m 47s</t>
        </is>
      </c>
      <c r="N16" s="30" t="n">
        <v>706.7469999790192</v>
      </c>
      <c r="O16" s="28" t="n">
        <v>11.779</v>
      </c>
      <c r="P16" s="27" t="inlineStr">
        <is>
          <t>C. 5-15 min</t>
        </is>
      </c>
      <c r="Q16" s="28" t="n">
        <v>4041.55</v>
      </c>
      <c r="R16" s="28" t="n">
        <v>4041.59</v>
      </c>
      <c r="S16" s="28" t="n">
        <v>4036.22</v>
      </c>
      <c r="T16" s="28" t="n">
        <v>4047.45</v>
      </c>
      <c r="U16" s="28" t="n">
        <v>4041.6</v>
      </c>
      <c r="V16" s="27" t="inlineStr">
        <is>
          <t>Tightened</t>
        </is>
      </c>
      <c r="W16" s="30" t="n">
        <v>528</v>
      </c>
      <c r="X16" s="31" t="n">
        <v>5.33</v>
      </c>
      <c r="Y16" s="28" t="n">
        <v>1.107</v>
      </c>
      <c r="Z16" s="32" t="n">
        <v>-0.002</v>
      </c>
      <c r="AA16" s="27" t="inlineStr">
        <is>
          <t>D. -0.5R..0</t>
        </is>
      </c>
      <c r="AB16" s="31" t="n">
        <v>0.04</v>
      </c>
      <c r="AC16" s="31" t="n">
        <v>-0.05</v>
      </c>
      <c r="AD16" s="33" t="n">
        <v>-0.01</v>
      </c>
      <c r="AE16" s="27" t="inlineStr">
        <is>
          <t>Loss</t>
        </is>
      </c>
      <c r="AF16" s="27" t="inlineStr">
        <is>
          <t>Stop Loss</t>
        </is>
      </c>
      <c r="AG16" s="30" t="n">
        <v>4</v>
      </c>
      <c r="AH16" s="31" t="n">
        <v>0.6899999999999999</v>
      </c>
      <c r="AI16" s="31" t="n">
        <v>-5.27</v>
      </c>
      <c r="AJ16" s="28" t="n">
        <v>0.129</v>
      </c>
      <c r="AK16" s="28" t="n">
        <v>-0.989</v>
      </c>
      <c r="AL16" s="28" t="n">
        <v>4042.24</v>
      </c>
      <c r="AM16" s="28" t="n">
        <v>4036.28</v>
      </c>
      <c r="AN16" s="27" t="inlineStr">
        <is>
          <t>11m 40s</t>
        </is>
      </c>
      <c r="AO16" s="27" t="inlineStr">
        <is>
          <t>7m 26s</t>
        </is>
      </c>
      <c r="AP16" s="34" t="n">
        <v>98.90000000000001</v>
      </c>
      <c r="AQ16" s="28" t="n">
        <v>-0.014</v>
      </c>
      <c r="AR16" s="31" t="n">
        <v>0.7</v>
      </c>
      <c r="AS16" s="28" t="n">
        <v>0.1158</v>
      </c>
      <c r="AT16" s="28" t="n">
        <v>0.8909</v>
      </c>
      <c r="AU16" s="28" t="n">
        <v>0.0067</v>
      </c>
      <c r="AV16" s="27" t="inlineStr">
        <is>
          <t>No</t>
        </is>
      </c>
      <c r="AW16" s="27" t="inlineStr">
        <is>
          <t>No</t>
        </is>
      </c>
      <c r="AX16" s="35" t="n">
        <v>0.5570000000000001</v>
      </c>
      <c r="AY16" s="31" t="n">
        <v>956.5700000000001</v>
      </c>
      <c r="AZ16" s="31" t="n">
        <v>43.43</v>
      </c>
      <c r="BA16" s="34" t="n">
        <v>4.343</v>
      </c>
      <c r="BB16" s="36" t="n">
        <v>-5</v>
      </c>
      <c r="BC16" s="27" t="inlineStr">
        <is>
          <t>ticks</t>
        </is>
      </c>
      <c r="BD16" s="24" t="n">
        <v>1648</v>
      </c>
      <c r="BE16" s="24" t="n">
        <v>9</v>
      </c>
      <c r="BF16" s="27" t="inlineStr">
        <is>
          <t>3214929/XAUUSD/2026-07-29_56010530_XAUUSD_buy_loss</t>
        </is>
      </c>
      <c r="BG16" s="27" t="n"/>
    </row>
    <row r="17" ht="16" customHeight="1">
      <c r="A17" s="24" t="n">
        <v>16</v>
      </c>
      <c r="B17" s="26" t="n">
        <v>56010917</v>
      </c>
      <c r="C17" s="27" t="inlineStr">
        <is>
          <t>XAUUSD</t>
        </is>
      </c>
      <c r="D17" s="27" t="inlineStr">
        <is>
          <t>buy</t>
        </is>
      </c>
      <c r="E17" s="28" t="n">
        <v>0.01</v>
      </c>
      <c r="F17" s="29" t="n">
        <v>46232.72877829861</v>
      </c>
      <c r="G17" s="29" t="n">
        <v>46232.73875042824</v>
      </c>
      <c r="H17" s="27" t="inlineStr">
        <is>
          <t>Wednesday</t>
        </is>
      </c>
      <c r="I17" s="26" t="n">
        <v>17</v>
      </c>
      <c r="J17" s="27" t="inlineStr">
        <is>
          <t>NY Late</t>
        </is>
      </c>
      <c r="K17" s="27" t="inlineStr">
        <is>
          <t>2026-W31</t>
        </is>
      </c>
      <c r="L17" s="27" t="inlineStr">
        <is>
          <t>2026-07</t>
        </is>
      </c>
      <c r="M17" s="27" t="inlineStr">
        <is>
          <t>14m 22s</t>
        </is>
      </c>
      <c r="N17" s="30" t="n">
        <v>861.5920000076294</v>
      </c>
      <c r="O17" s="28" t="n">
        <v>14.36</v>
      </c>
      <c r="P17" s="27" t="inlineStr">
        <is>
          <t>C. 5-15 min</t>
        </is>
      </c>
      <c r="Q17" s="28" t="n">
        <v>4037.85</v>
      </c>
      <c r="R17" s="28" t="n">
        <v>4047.18</v>
      </c>
      <c r="S17" s="28" t="n">
        <v>4034.16</v>
      </c>
      <c r="T17" s="28" t="n">
        <v>4041.97</v>
      </c>
      <c r="U17" s="28" t="n">
        <v>4034.16</v>
      </c>
      <c r="V17" s="27" t="inlineStr">
        <is>
          <t>Unchanged</t>
        </is>
      </c>
      <c r="W17" s="30" t="n">
        <v>0</v>
      </c>
      <c r="X17" s="31" t="n">
        <v>3.69</v>
      </c>
      <c r="Y17" s="28" t="n">
        <v>1.117</v>
      </c>
      <c r="Z17" s="32" t="n">
        <v>2.515</v>
      </c>
      <c r="AA17" s="27" t="inlineStr">
        <is>
          <t>I. 2R..3R</t>
        </is>
      </c>
      <c r="AB17" s="31" t="n">
        <v>9.33</v>
      </c>
      <c r="AC17" s="31" t="n">
        <v>-0.05</v>
      </c>
      <c r="AD17" s="33" t="n">
        <v>9.279999999999999</v>
      </c>
      <c r="AE17" s="27" t="inlineStr">
        <is>
          <t>Win</t>
        </is>
      </c>
      <c r="AF17" s="27" t="inlineStr">
        <is>
          <t>Take Profit</t>
        </is>
      </c>
      <c r="AG17" s="30" t="n">
        <v>933</v>
      </c>
      <c r="AH17" s="31" t="n">
        <v>9.33</v>
      </c>
      <c r="AI17" s="31" t="n">
        <v>-1.57</v>
      </c>
      <c r="AJ17" s="28" t="n">
        <v>2.528</v>
      </c>
      <c r="AK17" s="28" t="n">
        <v>-0.425</v>
      </c>
      <c r="AL17" s="28" t="n">
        <v>4047.18</v>
      </c>
      <c r="AM17" s="28" t="n">
        <v>4036.28</v>
      </c>
      <c r="AN17" s="27" t="inlineStr">
        <is>
          <t>14m 21s</t>
        </is>
      </c>
      <c r="AO17" s="27" t="inlineStr">
        <is>
          <t>6m 41s</t>
        </is>
      </c>
      <c r="AP17" s="34" t="n">
        <v>42.5</v>
      </c>
      <c r="AQ17" s="28" t="n">
        <v>0.995</v>
      </c>
      <c r="AR17" s="31" t="n">
        <v>0.05</v>
      </c>
      <c r="AS17" s="28" t="n">
        <v>0.856</v>
      </c>
      <c r="AT17" s="28" t="n">
        <v>1</v>
      </c>
      <c r="AU17" s="28" t="n">
        <v>0.856</v>
      </c>
      <c r="AV17" s="27" t="inlineStr">
        <is>
          <t>No</t>
        </is>
      </c>
      <c r="AW17" s="27" t="inlineStr">
        <is>
          <t>No</t>
        </is>
      </c>
      <c r="AX17" s="35" t="n">
        <v>0.386</v>
      </c>
      <c r="AY17" s="31" t="n">
        <v>965.85</v>
      </c>
      <c r="AZ17" s="31" t="n">
        <v>34.15</v>
      </c>
      <c r="BA17" s="34" t="n">
        <v>3.415</v>
      </c>
      <c r="BB17" s="36" t="n">
        <v>1</v>
      </c>
      <c r="BC17" s="27" t="inlineStr">
        <is>
          <t>ticks</t>
        </is>
      </c>
      <c r="BD17" s="24" t="n">
        <v>1971</v>
      </c>
      <c r="BE17" s="24" t="n">
        <v>9</v>
      </c>
      <c r="BF17" s="27" t="inlineStr">
        <is>
          <t>3214929/XAUUSD/2026-07-29_56010917_XAUUSD_buy_win</t>
        </is>
      </c>
      <c r="BG17" s="27" t="n"/>
    </row>
    <row r="18" ht="16" customHeight="1">
      <c r="A18" s="24" t="n">
        <v>17</v>
      </c>
      <c r="B18" s="26" t="n">
        <v>55998022</v>
      </c>
      <c r="C18" s="27" t="inlineStr">
        <is>
          <t>XAUUSD</t>
        </is>
      </c>
      <c r="D18" s="27" t="inlineStr">
        <is>
          <t>buy</t>
        </is>
      </c>
      <c r="E18" s="28" t="n">
        <v>0.01</v>
      </c>
      <c r="F18" s="29" t="n">
        <v>46232.70709087963</v>
      </c>
      <c r="G18" s="29" t="n">
        <v>46232.75006494213</v>
      </c>
      <c r="H18" s="27" t="inlineStr">
        <is>
          <t>Wednesday</t>
        </is>
      </c>
      <c r="I18" s="26" t="n">
        <v>16</v>
      </c>
      <c r="J18" s="27" t="inlineStr">
        <is>
          <t>NY Overlap</t>
        </is>
      </c>
      <c r="K18" s="27" t="inlineStr">
        <is>
          <t>2026-W31</t>
        </is>
      </c>
      <c r="L18" s="27" t="inlineStr">
        <is>
          <t>2026-07</t>
        </is>
      </c>
      <c r="M18" s="27" t="inlineStr">
        <is>
          <t>1h 01m</t>
        </is>
      </c>
      <c r="N18" s="30" t="n">
        <v>3712.959000110626</v>
      </c>
      <c r="O18" s="28" t="n">
        <v>61.883</v>
      </c>
      <c r="P18" s="27" t="inlineStr">
        <is>
          <t>F. 1-4 h</t>
        </is>
      </c>
      <c r="Q18" s="28" t="n">
        <v>4029.41</v>
      </c>
      <c r="R18" s="28" t="n">
        <v>4075.28</v>
      </c>
      <c r="S18" s="28" t="n">
        <v>4024.64</v>
      </c>
      <c r="T18" s="28" t="n">
        <v>4034.69</v>
      </c>
      <c r="U18" s="28" t="n">
        <v>4024.64</v>
      </c>
      <c r="V18" s="27" t="inlineStr">
        <is>
          <t>Unchanged</t>
        </is>
      </c>
      <c r="W18" s="30" t="n">
        <v>0</v>
      </c>
      <c r="X18" s="31" t="n">
        <v>4.77</v>
      </c>
      <c r="Y18" s="28" t="n">
        <v>1.107</v>
      </c>
      <c r="Z18" s="32" t="n">
        <v>9.606</v>
      </c>
      <c r="AA18" s="27" t="inlineStr">
        <is>
          <t>J. &gt;= 3R</t>
        </is>
      </c>
      <c r="AB18" s="31" t="n">
        <v>45.87</v>
      </c>
      <c r="AC18" s="31" t="n">
        <v>-0.05</v>
      </c>
      <c r="AD18" s="33" t="n">
        <v>45.82</v>
      </c>
      <c r="AE18" s="27" t="inlineStr">
        <is>
          <t>Win</t>
        </is>
      </c>
      <c r="AF18" s="27" t="inlineStr">
        <is>
          <t>Take Profit</t>
        </is>
      </c>
      <c r="AG18" s="30" t="n">
        <v>4587</v>
      </c>
      <c r="AH18" s="31" t="n">
        <v>45.87</v>
      </c>
      <c r="AI18" s="31" t="n">
        <v>-2.71</v>
      </c>
      <c r="AJ18" s="28" t="n">
        <v>9.616</v>
      </c>
      <c r="AK18" s="28" t="n">
        <v>-0.5679999999999999</v>
      </c>
      <c r="AL18" s="28" t="n">
        <v>4075.28</v>
      </c>
      <c r="AM18" s="28" t="n">
        <v>4026.7</v>
      </c>
      <c r="AN18" s="27" t="inlineStr">
        <is>
          <t>1h 01m</t>
        </is>
      </c>
      <c r="AO18" s="27" t="inlineStr">
        <is>
          <t>47s</t>
        </is>
      </c>
      <c r="AP18" s="34" t="n">
        <v>56.8</v>
      </c>
      <c r="AQ18" s="28" t="n">
        <v>0.999</v>
      </c>
      <c r="AR18" s="31" t="n">
        <v>0.05</v>
      </c>
      <c r="AS18" s="28" t="n">
        <v>0.9442</v>
      </c>
      <c r="AT18" s="28" t="n">
        <v>1</v>
      </c>
      <c r="AU18" s="28" t="n">
        <v>0.9442</v>
      </c>
      <c r="AV18" s="27" t="inlineStr">
        <is>
          <t>No</t>
        </is>
      </c>
      <c r="AW18" s="27" t="inlineStr">
        <is>
          <t>No</t>
        </is>
      </c>
      <c r="AX18" s="35" t="n">
        <v>0.494</v>
      </c>
      <c r="AY18" s="31" t="n">
        <v>1011.67</v>
      </c>
      <c r="AZ18" s="31" t="n">
        <v>0</v>
      </c>
      <c r="BA18" s="34" t="n">
        <v>0</v>
      </c>
      <c r="BB18" s="36" t="n">
        <v>2</v>
      </c>
      <c r="BC18" s="27" t="inlineStr">
        <is>
          <t>ticks</t>
        </is>
      </c>
      <c r="BD18" s="24" t="n">
        <v>8441</v>
      </c>
      <c r="BE18" s="24" t="n">
        <v>9</v>
      </c>
      <c r="BF18" s="27" t="inlineStr">
        <is>
          <t>3214929/XAUUSD/2026-07-29_55998022_XAUUSD_buy_win</t>
        </is>
      </c>
      <c r="BG18" s="27" t="n"/>
    </row>
    <row r="19" ht="16" customHeight="1">
      <c r="A19" s="24" t="n">
        <v>18</v>
      </c>
      <c r="B19" s="26" t="n">
        <v>56034556</v>
      </c>
      <c r="C19" s="27" t="inlineStr">
        <is>
          <t>DAXEUR</t>
        </is>
      </c>
      <c r="D19" s="27" t="inlineStr">
        <is>
          <t>buy</t>
        </is>
      </c>
      <c r="E19" s="28" t="n">
        <v>0.04</v>
      </c>
      <c r="F19" s="29" t="n">
        <v>46232.76399230324</v>
      </c>
      <c r="G19" s="29" t="n">
        <v>46232.76431851852</v>
      </c>
      <c r="H19" s="27" t="inlineStr">
        <is>
          <t>Wednesday</t>
        </is>
      </c>
      <c r="I19" s="26" t="n">
        <v>18</v>
      </c>
      <c r="J19" s="27" t="inlineStr">
        <is>
          <t>NY Late</t>
        </is>
      </c>
      <c r="K19" s="27" t="inlineStr">
        <is>
          <t>2026-W31</t>
        </is>
      </c>
      <c r="L19" s="27" t="inlineStr">
        <is>
          <t>2026-07</t>
        </is>
      </c>
      <c r="M19" s="27" t="inlineStr">
        <is>
          <t>28s</t>
        </is>
      </c>
      <c r="N19" s="30" t="n">
        <v>28.18499994277954</v>
      </c>
      <c r="O19" s="28" t="n">
        <v>0.47</v>
      </c>
      <c r="P19" s="27" t="inlineStr">
        <is>
          <t>A. &lt; 1 min</t>
        </is>
      </c>
      <c r="Q19" s="28" t="n">
        <v>25503.62</v>
      </c>
      <c r="R19" s="28" t="n">
        <v>25492.18</v>
      </c>
      <c r="S19" s="28" t="n">
        <v>25492.27</v>
      </c>
      <c r="T19" s="28" t="n">
        <v>25515.06</v>
      </c>
      <c r="U19" s="28" t="n">
        <v>25492.27</v>
      </c>
      <c r="V19" s="27" t="inlineStr">
        <is>
          <t>Unchanged</t>
        </is>
      </c>
      <c r="W19" s="30" t="n">
        <v>0</v>
      </c>
      <c r="X19" s="31" t="n">
        <v>5.24</v>
      </c>
      <c r="Y19" s="28" t="n">
        <v>1.008</v>
      </c>
      <c r="Z19" s="32" t="n">
        <v>-0.998</v>
      </c>
      <c r="AA19" s="27" t="inlineStr">
        <is>
          <t>C. -1R..-0.5R</t>
        </is>
      </c>
      <c r="AB19" s="31" t="n">
        <v>-5.23</v>
      </c>
      <c r="AC19" s="31" t="n">
        <v>0</v>
      </c>
      <c r="AD19" s="33" t="n">
        <v>-5.23</v>
      </c>
      <c r="AE19" s="27" t="inlineStr">
        <is>
          <t>Loss</t>
        </is>
      </c>
      <c r="AF19" s="27" t="inlineStr">
        <is>
          <t>Stop Loss</t>
        </is>
      </c>
      <c r="AG19" s="30" t="n">
        <v>-1144</v>
      </c>
      <c r="AH19" s="31" t="n">
        <v>0.25</v>
      </c>
      <c r="AI19" s="31" t="n">
        <v>-5.51</v>
      </c>
      <c r="AJ19" s="28" t="n">
        <v>0.048</v>
      </c>
      <c r="AK19" s="28" t="n">
        <v>-1.052</v>
      </c>
      <c r="AL19" s="28" t="n">
        <v>25504.18</v>
      </c>
      <c r="AM19" s="28" t="n">
        <v>25491.68</v>
      </c>
      <c r="AN19" s="27" t="inlineStr">
        <is>
          <t>7.7s</t>
        </is>
      </c>
      <c r="AO19" s="27" t="inlineStr">
        <is>
          <t>28s</t>
        </is>
      </c>
      <c r="AP19" s="34" t="n">
        <v>105.2</v>
      </c>
      <c r="AQ19" s="28" t="n">
        <v>-20.92</v>
      </c>
      <c r="AR19" s="31" t="n">
        <v>5.48</v>
      </c>
      <c r="AS19" s="28" t="n">
        <v>0.0448</v>
      </c>
      <c r="AT19" s="28" t="n">
        <v>0.04</v>
      </c>
      <c r="AU19" s="28" t="n">
        <v>-0.9152</v>
      </c>
      <c r="AV19" s="27" t="inlineStr">
        <is>
          <t>Yes</t>
        </is>
      </c>
      <c r="AW19" s="27" t="inlineStr">
        <is>
          <t>No</t>
        </is>
      </c>
      <c r="AX19" s="35" t="n">
        <v>0.518</v>
      </c>
      <c r="AY19" s="31" t="n">
        <v>1006.44</v>
      </c>
      <c r="AZ19" s="31" t="n">
        <v>5.23</v>
      </c>
      <c r="BA19" s="34" t="n">
        <v>0.517</v>
      </c>
      <c r="BB19" s="36" t="n">
        <v>-1</v>
      </c>
      <c r="BC19" s="27" t="inlineStr">
        <is>
          <t>ticks</t>
        </is>
      </c>
      <c r="BD19" s="24" t="n">
        <v>55</v>
      </c>
      <c r="BE19" s="24" t="n">
        <v>9</v>
      </c>
      <c r="BF19" s="27" t="inlineStr">
        <is>
          <t>3214929/DAXEUR/2026-07-29_56034556_DAXEUR_buy_loss</t>
        </is>
      </c>
      <c r="BG19" s="27" t="n"/>
    </row>
    <row r="20" ht="16" customHeight="1">
      <c r="A20" s="24" t="n">
        <v>19</v>
      </c>
      <c r="B20" s="26" t="n">
        <v>56035232</v>
      </c>
      <c r="C20" s="27" t="inlineStr">
        <is>
          <t>DAXEUR</t>
        </is>
      </c>
      <c r="D20" s="27" t="inlineStr">
        <is>
          <t>buy</t>
        </is>
      </c>
      <c r="E20" s="28" t="n">
        <v>0.02</v>
      </c>
      <c r="F20" s="29" t="n">
        <v>46232.76508072916</v>
      </c>
      <c r="G20" s="29" t="n">
        <v>46232.77235072917</v>
      </c>
      <c r="H20" s="27" t="inlineStr">
        <is>
          <t>Wednesday</t>
        </is>
      </c>
      <c r="I20" s="26" t="n">
        <v>18</v>
      </c>
      <c r="J20" s="27" t="inlineStr">
        <is>
          <t>NY Late</t>
        </is>
      </c>
      <c r="K20" s="27" t="inlineStr">
        <is>
          <t>2026-W31</t>
        </is>
      </c>
      <c r="L20" s="27" t="inlineStr">
        <is>
          <t>2026-07</t>
        </is>
      </c>
      <c r="M20" s="27" t="inlineStr">
        <is>
          <t>10m 28s</t>
        </is>
      </c>
      <c r="N20" s="30" t="n">
        <v>628.1280000209808</v>
      </c>
      <c r="O20" s="28" t="n">
        <v>10.469</v>
      </c>
      <c r="P20" s="27" t="inlineStr">
        <is>
          <t>C. 5-15 min</t>
        </is>
      </c>
      <c r="Q20" s="28" t="n">
        <v>25494.62</v>
      </c>
      <c r="R20" s="28" t="n">
        <v>25480.68</v>
      </c>
      <c r="S20" s="28" t="n">
        <v>25478.92</v>
      </c>
      <c r="T20" s="28" t="n">
        <v>25509.79</v>
      </c>
      <c r="U20" s="28" t="n">
        <v>25481.25</v>
      </c>
      <c r="V20" s="27" t="inlineStr">
        <is>
          <t>Tightened</t>
        </is>
      </c>
      <c r="W20" s="30" t="n">
        <v>233</v>
      </c>
      <c r="X20" s="31" t="n">
        <v>3.62</v>
      </c>
      <c r="Y20" s="28" t="n">
        <v>0.967</v>
      </c>
      <c r="Z20" s="32" t="n">
        <v>-0.878</v>
      </c>
      <c r="AA20" s="27" t="inlineStr">
        <is>
          <t>C. -1R..-0.5R</t>
        </is>
      </c>
      <c r="AB20" s="31" t="n">
        <v>-3.18</v>
      </c>
      <c r="AC20" s="31" t="n">
        <v>0</v>
      </c>
      <c r="AD20" s="33" t="n">
        <v>-3.18</v>
      </c>
      <c r="AE20" s="27" t="inlineStr">
        <is>
          <t>Loss</t>
        </is>
      </c>
      <c r="AF20" s="27" t="inlineStr">
        <is>
          <t>Stop Loss</t>
        </is>
      </c>
      <c r="AG20" s="30" t="n">
        <v>-1394</v>
      </c>
      <c r="AH20" s="31" t="n">
        <v>6.24</v>
      </c>
      <c r="AI20" s="31" t="n">
        <v>-3.22</v>
      </c>
      <c r="AJ20" s="28" t="n">
        <v>1.724</v>
      </c>
      <c r="AK20" s="28" t="n">
        <v>-0.89</v>
      </c>
      <c r="AL20" s="28" t="n">
        <v>25521.68</v>
      </c>
      <c r="AM20" s="28" t="n">
        <v>25480.68</v>
      </c>
      <c r="AN20" s="27" t="inlineStr">
        <is>
          <t>9m 27s</t>
        </is>
      </c>
      <c r="AO20" s="27" t="inlineStr">
        <is>
          <t>10m 28s</t>
        </is>
      </c>
      <c r="AP20" s="34" t="n">
        <v>89</v>
      </c>
      <c r="AQ20" s="28" t="n">
        <v>-0.51</v>
      </c>
      <c r="AR20" s="31" t="n">
        <v>9.42</v>
      </c>
      <c r="AS20" s="28" t="n">
        <v>0.66</v>
      </c>
      <c r="AT20" s="28" t="n">
        <v>0</v>
      </c>
      <c r="AU20" s="28" t="n">
        <v>-0.34</v>
      </c>
      <c r="AV20" s="27" t="inlineStr">
        <is>
          <t>Yes</t>
        </is>
      </c>
      <c r="AW20" s="27" t="inlineStr">
        <is>
          <t>No</t>
        </is>
      </c>
      <c r="AX20" s="35" t="n">
        <v>0.36</v>
      </c>
      <c r="AY20" s="31" t="n">
        <v>1003.26</v>
      </c>
      <c r="AZ20" s="31" t="n">
        <v>8.41</v>
      </c>
      <c r="BA20" s="34" t="n">
        <v>0.831</v>
      </c>
      <c r="BB20" s="36" t="n">
        <v>-2</v>
      </c>
      <c r="BC20" s="27" t="inlineStr">
        <is>
          <t>ticks</t>
        </is>
      </c>
      <c r="BD20" s="24" t="n">
        <v>1158</v>
      </c>
      <c r="BE20" s="24" t="n">
        <v>9</v>
      </c>
      <c r="BF20" s="27" t="inlineStr">
        <is>
          <t>3214929/DAXEUR/2026-07-29_56035232_DAXEUR_buy_loss</t>
        </is>
      </c>
      <c r="BG20" s="27" t="n"/>
    </row>
    <row r="21" ht="16" customHeight="1">
      <c r="A21" s="24" t="n">
        <v>20</v>
      </c>
      <c r="B21" s="26" t="n">
        <v>56032851</v>
      </c>
      <c r="C21" s="27" t="inlineStr">
        <is>
          <t>DAXEUR</t>
        </is>
      </c>
      <c r="D21" s="27" t="inlineStr">
        <is>
          <t>buy</t>
        </is>
      </c>
      <c r="E21" s="28" t="n">
        <v>0.02</v>
      </c>
      <c r="F21" s="29" t="n">
        <v>46232.76112440972</v>
      </c>
      <c r="G21" s="29" t="n">
        <v>46232.77235072917</v>
      </c>
      <c r="H21" s="27" t="inlineStr">
        <is>
          <t>Wednesday</t>
        </is>
      </c>
      <c r="I21" s="26" t="n">
        <v>18</v>
      </c>
      <c r="J21" s="27" t="inlineStr">
        <is>
          <t>NY Late</t>
        </is>
      </c>
      <c r="K21" s="27" t="inlineStr">
        <is>
          <t>2026-W31</t>
        </is>
      </c>
      <c r="L21" s="27" t="inlineStr">
        <is>
          <t>2026-07</t>
        </is>
      </c>
      <c r="M21" s="27" t="inlineStr">
        <is>
          <t>16m 10s</t>
        </is>
      </c>
      <c r="N21" s="30" t="n">
        <v>969.9539999961853</v>
      </c>
      <c r="O21" s="28" t="n">
        <v>16.166</v>
      </c>
      <c r="P21" s="27" t="inlineStr">
        <is>
          <t>D. 15-30 min</t>
        </is>
      </c>
      <c r="Q21" s="28" t="n">
        <v>25532.62</v>
      </c>
      <c r="R21" s="28" t="n">
        <v>25480.68</v>
      </c>
      <c r="S21" s="28" t="n">
        <v>25515.37</v>
      </c>
      <c r="T21" s="28" t="n">
        <v>25549.49</v>
      </c>
      <c r="U21" s="28" t="n">
        <v>25481.25</v>
      </c>
      <c r="V21" s="27" t="inlineStr">
        <is>
          <t>Widened</t>
        </is>
      </c>
      <c r="W21" s="30" t="n">
        <v>-3412</v>
      </c>
      <c r="X21" s="31" t="n">
        <v>3.98</v>
      </c>
      <c r="Y21" s="28" t="n">
        <v>0.977</v>
      </c>
      <c r="Z21" s="32" t="n">
        <v>-2.98</v>
      </c>
      <c r="AA21" s="27" t="inlineStr">
        <is>
          <t>A. &lt;= -1.5R</t>
        </is>
      </c>
      <c r="AB21" s="31" t="n">
        <v>-11.86</v>
      </c>
      <c r="AC21" s="31" t="n">
        <v>0</v>
      </c>
      <c r="AD21" s="33" t="n">
        <v>-11.86</v>
      </c>
      <c r="AE21" s="27" t="inlineStr">
        <is>
          <t>Loss</t>
        </is>
      </c>
      <c r="AF21" s="27" t="inlineStr">
        <is>
          <t>Stop Loss</t>
        </is>
      </c>
      <c r="AG21" s="30" t="n">
        <v>-5194</v>
      </c>
      <c r="AH21" s="31" t="n">
        <v>0.24</v>
      </c>
      <c r="AI21" s="31" t="n">
        <v>-11.99</v>
      </c>
      <c r="AJ21" s="28" t="n">
        <v>0.06</v>
      </c>
      <c r="AK21" s="28" t="n">
        <v>-3.013</v>
      </c>
      <c r="AL21" s="28" t="n">
        <v>25533.68</v>
      </c>
      <c r="AM21" s="28" t="n">
        <v>25480.68</v>
      </c>
      <c r="AN21" s="27" t="inlineStr">
        <is>
          <t>20s</t>
        </is>
      </c>
      <c r="AO21" s="27" t="inlineStr">
        <is>
          <t>16m 10s</t>
        </is>
      </c>
      <c r="AP21" s="34" t="n">
        <v>301.3</v>
      </c>
      <c r="AQ21" s="28" t="n">
        <v>-49.417</v>
      </c>
      <c r="AR21" s="31" t="n">
        <v>12.1</v>
      </c>
      <c r="AS21" s="28" t="n">
        <v>0.02</v>
      </c>
      <c r="AT21" s="28" t="n">
        <v>0</v>
      </c>
      <c r="AU21" s="28" t="n">
        <v>-0.98</v>
      </c>
      <c r="AV21" s="27" t="inlineStr">
        <is>
          <t>Yes</t>
        </is>
      </c>
      <c r="AW21" s="27" t="inlineStr">
        <is>
          <t>No</t>
        </is>
      </c>
      <c r="AX21" s="35" t="n">
        <v>0.397</v>
      </c>
      <c r="AY21" s="31" t="n">
        <v>991.4</v>
      </c>
      <c r="AZ21" s="31" t="n">
        <v>20.27</v>
      </c>
      <c r="BA21" s="34" t="n">
        <v>2.004</v>
      </c>
      <c r="BB21" s="36" t="n">
        <v>-3</v>
      </c>
      <c r="BC21" s="27" t="inlineStr">
        <is>
          <t>ticks</t>
        </is>
      </c>
      <c r="BD21" s="24" t="n">
        <v>1724</v>
      </c>
      <c r="BE21" s="24" t="n">
        <v>9</v>
      </c>
      <c r="BF21" s="27" t="inlineStr">
        <is>
          <t>3214929/DAXEUR/2026-07-29_56032851_DAXEUR_buy_loss</t>
        </is>
      </c>
      <c r="BG21" s="27" t="n"/>
    </row>
    <row r="22" ht="16" customHeight="1">
      <c r="A22" s="24" t="n">
        <v>21</v>
      </c>
      <c r="B22" s="26" t="n">
        <v>56040932</v>
      </c>
      <c r="C22" s="27" t="inlineStr">
        <is>
          <t>DAXEUR</t>
        </is>
      </c>
      <c r="D22" s="27" t="inlineStr">
        <is>
          <t>buy</t>
        </is>
      </c>
      <c r="E22" s="28" t="n">
        <v>0.03</v>
      </c>
      <c r="F22" s="29" t="n">
        <v>46232.77382780093</v>
      </c>
      <c r="G22" s="29" t="n">
        <v>46232.7747490625</v>
      </c>
      <c r="H22" s="27" t="inlineStr">
        <is>
          <t>Wednesday</t>
        </is>
      </c>
      <c r="I22" s="26" t="n">
        <v>18</v>
      </c>
      <c r="J22" s="27" t="inlineStr">
        <is>
          <t>NY Late</t>
        </is>
      </c>
      <c r="K22" s="27" t="inlineStr">
        <is>
          <t>2026-W31</t>
        </is>
      </c>
      <c r="L22" s="27" t="inlineStr">
        <is>
          <t>2026-07</t>
        </is>
      </c>
      <c r="M22" s="27" t="inlineStr">
        <is>
          <t>1m 20s</t>
        </is>
      </c>
      <c r="N22" s="30" t="n">
        <v>79.59700012207031</v>
      </c>
      <c r="O22" s="28" t="n">
        <v>1.327</v>
      </c>
      <c r="P22" s="27" t="inlineStr">
        <is>
          <t>B. 1-5 min</t>
        </is>
      </c>
      <c r="Q22" s="28" t="n">
        <v>25500.62</v>
      </c>
      <c r="R22" s="28" t="n">
        <v>25481.18</v>
      </c>
      <c r="S22" s="28" t="n">
        <v>25486.55</v>
      </c>
      <c r="T22" s="28" t="n">
        <v>25514</v>
      </c>
      <c r="U22" s="28" t="n">
        <v>25481.88</v>
      </c>
      <c r="V22" s="27" t="inlineStr">
        <is>
          <t>Widened</t>
        </is>
      </c>
      <c r="W22" s="30" t="n">
        <v>-467</v>
      </c>
      <c r="X22" s="31" t="n">
        <v>4.87</v>
      </c>
      <c r="Y22" s="28" t="n">
        <v>0.951</v>
      </c>
      <c r="Z22" s="32" t="n">
        <v>-1.366</v>
      </c>
      <c r="AA22" s="27" t="inlineStr">
        <is>
          <t>B. -1.5R..-1R</t>
        </is>
      </c>
      <c r="AB22" s="31" t="n">
        <v>-6.65</v>
      </c>
      <c r="AC22" s="31" t="n">
        <v>0</v>
      </c>
      <c r="AD22" s="33" t="n">
        <v>-6.65</v>
      </c>
      <c r="AE22" s="27" t="inlineStr">
        <is>
          <t>Loss</t>
        </is>
      </c>
      <c r="AF22" s="27" t="inlineStr">
        <is>
          <t>Stop Loss</t>
        </is>
      </c>
      <c r="AG22" s="30" t="n">
        <v>-1944</v>
      </c>
      <c r="AH22" s="31" t="n">
        <v>0</v>
      </c>
      <c r="AI22" s="31" t="n">
        <v>-7.59</v>
      </c>
      <c r="AJ22" s="28" t="n">
        <v>0</v>
      </c>
      <c r="AK22" s="28" t="n">
        <v>-1.559</v>
      </c>
      <c r="AL22" s="28" t="n">
        <v>25499.18</v>
      </c>
      <c r="AM22" s="28" t="n">
        <v>25478.68</v>
      </c>
      <c r="AN22" s="27" t="inlineStr">
        <is>
          <t>0.0s</t>
        </is>
      </c>
      <c r="AO22" s="27" t="inlineStr">
        <is>
          <t>1m 20s</t>
        </is>
      </c>
      <c r="AP22" s="34" t="n">
        <v>155.9</v>
      </c>
      <c r="AQ22" s="28" t="n"/>
      <c r="AR22" s="31" t="n"/>
      <c r="AS22" s="28" t="n">
        <v>-0.0702</v>
      </c>
      <c r="AT22" s="28" t="n">
        <v>0.122</v>
      </c>
      <c r="AU22" s="28" t="n">
        <v>-0.9483</v>
      </c>
      <c r="AV22" s="27" t="inlineStr">
        <is>
          <t>Yes</t>
        </is>
      </c>
      <c r="AW22" s="27" t="inlineStr">
        <is>
          <t>No</t>
        </is>
      </c>
      <c r="AX22" s="35" t="n">
        <v>0.491</v>
      </c>
      <c r="AY22" s="31" t="n">
        <v>984.75</v>
      </c>
      <c r="AZ22" s="31" t="n">
        <v>26.92</v>
      </c>
      <c r="BA22" s="34" t="n">
        <v>2.661</v>
      </c>
      <c r="BB22" s="36" t="n">
        <v>-4</v>
      </c>
      <c r="BC22" s="27" t="inlineStr">
        <is>
          <t>ticks</t>
        </is>
      </c>
      <c r="BD22" s="24" t="n">
        <v>168</v>
      </c>
      <c r="BE22" s="24" t="n">
        <v>9</v>
      </c>
      <c r="BF22" s="27" t="inlineStr">
        <is>
          <t>3214929/DAXEUR/2026-07-29_56040932_DAXEUR_buy_loss</t>
        </is>
      </c>
      <c r="BG22" s="27" t="n"/>
    </row>
    <row r="23" ht="16" customHeight="1">
      <c r="A23" s="24" t="n">
        <v>22</v>
      </c>
      <c r="B23" s="26" t="n">
        <v>56042302</v>
      </c>
      <c r="C23" s="27" t="inlineStr">
        <is>
          <t>XAUUSD</t>
        </is>
      </c>
      <c r="D23" s="27" t="inlineStr">
        <is>
          <t>sell</t>
        </is>
      </c>
      <c r="E23" s="28" t="n">
        <v>0.01</v>
      </c>
      <c r="F23" s="29" t="n">
        <v>46232.77651188657</v>
      </c>
      <c r="G23" s="29" t="n">
        <v>46232.77763527778</v>
      </c>
      <c r="H23" s="27" t="inlineStr">
        <is>
          <t>Wednesday</t>
        </is>
      </c>
      <c r="I23" s="26" t="n">
        <v>18</v>
      </c>
      <c r="J23" s="27" t="inlineStr">
        <is>
          <t>NY Late</t>
        </is>
      </c>
      <c r="K23" s="27" t="inlineStr">
        <is>
          <t>2026-W31</t>
        </is>
      </c>
      <c r="L23" s="27" t="inlineStr">
        <is>
          <t>2026-07</t>
        </is>
      </c>
      <c r="M23" s="27" t="inlineStr">
        <is>
          <t>1m 37s</t>
        </is>
      </c>
      <c r="N23" s="30" t="n">
        <v>97.06099987030029</v>
      </c>
      <c r="O23" s="28" t="n">
        <v>1.618</v>
      </c>
      <c r="P23" s="27" t="inlineStr">
        <is>
          <t>B. 1-5 min</t>
        </is>
      </c>
      <c r="Q23" s="28" t="n">
        <v>4062.73</v>
      </c>
      <c r="R23" s="28" t="n">
        <v>4069.81</v>
      </c>
      <c r="S23" s="28" t="n">
        <v>4068.83</v>
      </c>
      <c r="T23" s="28" t="n">
        <v>4055.84</v>
      </c>
      <c r="U23" s="28" t="n">
        <v>4069.48</v>
      </c>
      <c r="V23" s="27" t="inlineStr">
        <is>
          <t>Widened</t>
        </is>
      </c>
      <c r="W23" s="30" t="n">
        <v>-65</v>
      </c>
      <c r="X23" s="31" t="n">
        <v>6.1</v>
      </c>
      <c r="Y23" s="28" t="n">
        <v>1.13</v>
      </c>
      <c r="Z23" s="32" t="n">
        <v>-1.169</v>
      </c>
      <c r="AA23" s="27" t="inlineStr">
        <is>
          <t>B. -1.5R..-1R</t>
        </is>
      </c>
      <c r="AB23" s="31" t="n">
        <v>-7.08</v>
      </c>
      <c r="AC23" s="31" t="n">
        <v>-0.05</v>
      </c>
      <c r="AD23" s="33" t="n">
        <v>-7.13</v>
      </c>
      <c r="AE23" s="27" t="inlineStr">
        <is>
          <t>Loss</t>
        </is>
      </c>
      <c r="AF23" s="27" t="inlineStr">
        <is>
          <t>Stop Loss</t>
        </is>
      </c>
      <c r="AG23" s="30" t="n">
        <v>-708</v>
      </c>
      <c r="AH23" s="31" t="n">
        <v>0.14</v>
      </c>
      <c r="AI23" s="31" t="n">
        <v>-7.08</v>
      </c>
      <c r="AJ23" s="28" t="n">
        <v>0.023</v>
      </c>
      <c r="AK23" s="28" t="n">
        <v>-1.161</v>
      </c>
      <c r="AL23" s="28" t="n">
        <v>4062.59</v>
      </c>
      <c r="AM23" s="28" t="n">
        <v>4069.81</v>
      </c>
      <c r="AN23" s="27" t="inlineStr">
        <is>
          <t>1.3s</t>
        </is>
      </c>
      <c r="AO23" s="27" t="inlineStr">
        <is>
          <t>1m 37s</t>
        </is>
      </c>
      <c r="AP23" s="34" t="n">
        <v>116.1</v>
      </c>
      <c r="AQ23" s="28" t="n">
        <v>-50.929</v>
      </c>
      <c r="AR23" s="31" t="n">
        <v>7.27</v>
      </c>
      <c r="AS23" s="28" t="n">
        <v>0.0194</v>
      </c>
      <c r="AT23" s="28" t="n">
        <v>-0</v>
      </c>
      <c r="AU23" s="28" t="n">
        <v>-0.9806</v>
      </c>
      <c r="AV23" s="27" t="inlineStr">
        <is>
          <t>Yes</t>
        </is>
      </c>
      <c r="AW23" s="27" t="inlineStr">
        <is>
          <t>No</t>
        </is>
      </c>
      <c r="AX23" s="35" t="n">
        <v>0.619</v>
      </c>
      <c r="AY23" s="31" t="n">
        <v>977.62</v>
      </c>
      <c r="AZ23" s="31" t="n">
        <v>34.05</v>
      </c>
      <c r="BA23" s="34" t="n">
        <v>3.366</v>
      </c>
      <c r="BB23" s="36" t="n">
        <v>-5</v>
      </c>
      <c r="BC23" s="27" t="inlineStr">
        <is>
          <t>ticks</t>
        </is>
      </c>
      <c r="BD23" s="24" t="n">
        <v>273</v>
      </c>
      <c r="BE23" s="24" t="n">
        <v>9</v>
      </c>
      <c r="BF23" s="27" t="inlineStr">
        <is>
          <t>3214929/XAUUSD/2026-07-29_56042302_XAUUSD_sell_loss</t>
        </is>
      </c>
      <c r="BG23" s="27" t="n"/>
    </row>
    <row r="24" ht="16" customHeight="1">
      <c r="A24" s="24" t="n">
        <v>23</v>
      </c>
      <c r="B24" s="26" t="n">
        <v>56043357</v>
      </c>
      <c r="C24" s="27" t="inlineStr">
        <is>
          <t>DAXEUR</t>
        </is>
      </c>
      <c r="D24" s="27" t="inlineStr">
        <is>
          <t>buy</t>
        </is>
      </c>
      <c r="E24" s="28" t="n">
        <v>0.02</v>
      </c>
      <c r="F24" s="29" t="n">
        <v>46232.77791695602</v>
      </c>
      <c r="G24" s="29" t="n">
        <v>46232.78335104167</v>
      </c>
      <c r="H24" s="27" t="inlineStr">
        <is>
          <t>Wednesday</t>
        </is>
      </c>
      <c r="I24" s="26" t="n">
        <v>18</v>
      </c>
      <c r="J24" s="27" t="inlineStr">
        <is>
          <t>NY Late</t>
        </is>
      </c>
      <c r="K24" s="27" t="inlineStr">
        <is>
          <t>2026-W31</t>
        </is>
      </c>
      <c r="L24" s="27" t="inlineStr">
        <is>
          <t>2026-07</t>
        </is>
      </c>
      <c r="M24" s="27" t="inlineStr">
        <is>
          <t>7m 50s</t>
        </is>
      </c>
      <c r="N24" s="30" t="n">
        <v>469.5049998760223</v>
      </c>
      <c r="O24" s="28" t="n">
        <v>7.825</v>
      </c>
      <c r="P24" s="27" t="inlineStr">
        <is>
          <t>C. 5-15 min</t>
        </is>
      </c>
      <c r="Q24" s="28" t="n">
        <v>25537.62</v>
      </c>
      <c r="R24" s="28" t="n">
        <v>25579.18</v>
      </c>
      <c r="S24" s="28" t="n">
        <v>25522.96</v>
      </c>
      <c r="T24" s="28" t="n">
        <v>25553.75</v>
      </c>
      <c r="U24" s="28" t="n">
        <v>25522.96</v>
      </c>
      <c r="V24" s="27" t="inlineStr">
        <is>
          <t>Unchanged</t>
        </is>
      </c>
      <c r="W24" s="30" t="n">
        <v>0</v>
      </c>
      <c r="X24" s="31" t="n">
        <v>3.38</v>
      </c>
      <c r="Y24" s="28" t="n">
        <v>1.104</v>
      </c>
      <c r="Z24" s="32" t="n">
        <v>2.814</v>
      </c>
      <c r="AA24" s="27" t="inlineStr">
        <is>
          <t>I. 2R..3R</t>
        </is>
      </c>
      <c r="AB24" s="31" t="n">
        <v>9.51</v>
      </c>
      <c r="AC24" s="31" t="n">
        <v>0</v>
      </c>
      <c r="AD24" s="33" t="n">
        <v>9.51</v>
      </c>
      <c r="AE24" s="27" t="inlineStr">
        <is>
          <t>Win</t>
        </is>
      </c>
      <c r="AF24" s="27" t="inlineStr">
        <is>
          <t>Expert</t>
        </is>
      </c>
      <c r="AG24" s="30" t="n">
        <v>4156</v>
      </c>
      <c r="AH24" s="31" t="n">
        <v>11.43</v>
      </c>
      <c r="AI24" s="31" t="n">
        <v>-1.37</v>
      </c>
      <c r="AJ24" s="28" t="n">
        <v>3.382</v>
      </c>
      <c r="AK24" s="28" t="n">
        <v>-0.405</v>
      </c>
      <c r="AL24" s="28" t="n">
        <v>25587.18</v>
      </c>
      <c r="AM24" s="28" t="n">
        <v>25531.68</v>
      </c>
      <c r="AN24" s="27" t="inlineStr">
        <is>
          <t>7m 33s</t>
        </is>
      </c>
      <c r="AO24" s="27" t="inlineStr">
        <is>
          <t>2m 11s</t>
        </is>
      </c>
      <c r="AP24" s="34" t="n">
        <v>40.5</v>
      </c>
      <c r="AQ24" s="28" t="n">
        <v>0.832</v>
      </c>
      <c r="AR24" s="31" t="n">
        <v>1.92</v>
      </c>
      <c r="AS24" s="28" t="n">
        <v>0.893</v>
      </c>
      <c r="AT24" s="28" t="n">
        <v>0.8559</v>
      </c>
      <c r="AU24" s="28" t="n">
        <v>0.7488</v>
      </c>
      <c r="AV24" s="27" t="inlineStr">
        <is>
          <t>No</t>
        </is>
      </c>
      <c r="AW24" s="27" t="inlineStr">
        <is>
          <t>No</t>
        </is>
      </c>
      <c r="AX24" s="35" t="n">
        <v>0.346</v>
      </c>
      <c r="AY24" s="31" t="n">
        <v>987.13</v>
      </c>
      <c r="AZ24" s="31" t="n">
        <v>24.54</v>
      </c>
      <c r="BA24" s="34" t="n">
        <v>2.426</v>
      </c>
      <c r="BB24" s="36" t="n">
        <v>1</v>
      </c>
      <c r="BC24" s="27" t="inlineStr">
        <is>
          <t>ticks</t>
        </is>
      </c>
      <c r="BD24" s="24" t="n">
        <v>961</v>
      </c>
      <c r="BE24" s="24" t="n">
        <v>9</v>
      </c>
      <c r="BF24" s="27" t="inlineStr">
        <is>
          <t>3214929/DAXEUR/2026-07-29_56043357_DAXEUR_buy_win</t>
        </is>
      </c>
      <c r="BG24" s="27" t="n"/>
    </row>
    <row r="25" ht="16" customHeight="1">
      <c r="A25" s="24" t="n">
        <v>24</v>
      </c>
      <c r="B25" s="26" t="n">
        <v>56045244</v>
      </c>
      <c r="C25" s="27" t="inlineStr">
        <is>
          <t>DAXEUR</t>
        </is>
      </c>
      <c r="D25" s="27" t="inlineStr">
        <is>
          <t>buy</t>
        </is>
      </c>
      <c r="E25" s="28" t="n">
        <v>0.02</v>
      </c>
      <c r="F25" s="29" t="n">
        <v>46232.78044087963</v>
      </c>
      <c r="G25" s="29" t="n">
        <v>46232.78386538194</v>
      </c>
      <c r="H25" s="27" t="inlineStr">
        <is>
          <t>Wednesday</t>
        </is>
      </c>
      <c r="I25" s="26" t="n">
        <v>18</v>
      </c>
      <c r="J25" s="27" t="inlineStr">
        <is>
          <t>NY Late</t>
        </is>
      </c>
      <c r="K25" s="27" t="inlineStr">
        <is>
          <t>2026-W31</t>
        </is>
      </c>
      <c r="L25" s="27" t="inlineStr">
        <is>
          <t>2026-07</t>
        </is>
      </c>
      <c r="M25" s="27" t="inlineStr">
        <is>
          <t>4m 56s</t>
        </is>
      </c>
      <c r="N25" s="30" t="n">
        <v>295.8770000934601</v>
      </c>
      <c r="O25" s="28" t="n">
        <v>4.931</v>
      </c>
      <c r="P25" s="27" t="inlineStr">
        <is>
          <t>B. 1-5 min</t>
        </is>
      </c>
      <c r="Q25" s="28" t="n">
        <v>25557.12</v>
      </c>
      <c r="R25" s="28" t="n">
        <v>25556.68</v>
      </c>
      <c r="S25" s="28" t="n">
        <v>25537.87</v>
      </c>
      <c r="T25" s="28" t="n">
        <v>25577.24</v>
      </c>
      <c r="U25" s="28" t="n">
        <v>25557.12</v>
      </c>
      <c r="V25" s="27" t="inlineStr">
        <is>
          <t>Breakeven</t>
        </is>
      </c>
      <c r="W25" s="30" t="n">
        <v>1925</v>
      </c>
      <c r="X25" s="31" t="n">
        <v>4.44</v>
      </c>
      <c r="Y25" s="28" t="n">
        <v>1.045</v>
      </c>
      <c r="Z25" s="32" t="n">
        <v>-0.023</v>
      </c>
      <c r="AA25" s="27" t="inlineStr">
        <is>
          <t>D. -0.5R..0</t>
        </is>
      </c>
      <c r="AB25" s="31" t="n">
        <v>-0.1</v>
      </c>
      <c r="AC25" s="31" t="n">
        <v>0</v>
      </c>
      <c r="AD25" s="33" t="n">
        <v>-0.1</v>
      </c>
      <c r="AE25" s="27" t="inlineStr">
        <is>
          <t>Loss</t>
        </is>
      </c>
      <c r="AF25" s="27" t="inlineStr">
        <is>
          <t>Stop Loss</t>
        </is>
      </c>
      <c r="AG25" s="30" t="n">
        <v>-44</v>
      </c>
      <c r="AH25" s="31" t="n">
        <v>6.93</v>
      </c>
      <c r="AI25" s="31" t="n">
        <v>-0.68</v>
      </c>
      <c r="AJ25" s="28" t="n">
        <v>1.561</v>
      </c>
      <c r="AK25" s="28" t="n">
        <v>-0.153</v>
      </c>
      <c r="AL25" s="28" t="n">
        <v>25587.18</v>
      </c>
      <c r="AM25" s="28" t="n">
        <v>25554.18</v>
      </c>
      <c r="AN25" s="27" t="inlineStr">
        <is>
          <t>3m 55s</t>
        </is>
      </c>
      <c r="AO25" s="27" t="inlineStr">
        <is>
          <t>0.0s</t>
        </is>
      </c>
      <c r="AP25" s="34" t="n">
        <v>15.3</v>
      </c>
      <c r="AQ25" s="28" t="n">
        <v>-0.014</v>
      </c>
      <c r="AR25" s="31" t="n">
        <v>7.03</v>
      </c>
      <c r="AS25" s="28" t="n">
        <v>0.9109</v>
      </c>
      <c r="AT25" s="28" t="n">
        <v>0.07580000000000001</v>
      </c>
      <c r="AU25" s="28" t="n">
        <v>-0.0133</v>
      </c>
      <c r="AV25" s="27" t="inlineStr">
        <is>
          <t>No</t>
        </is>
      </c>
      <c r="AW25" s="27" t="inlineStr">
        <is>
          <t>No</t>
        </is>
      </c>
      <c r="AX25" s="35" t="n">
        <v>0.45</v>
      </c>
      <c r="AY25" s="31" t="n">
        <v>987.03</v>
      </c>
      <c r="AZ25" s="31" t="n">
        <v>24.64</v>
      </c>
      <c r="BA25" s="34" t="n">
        <v>2.436</v>
      </c>
      <c r="BB25" s="36" t="n">
        <v>-1</v>
      </c>
      <c r="BC25" s="27" t="inlineStr">
        <is>
          <t>ticks</t>
        </is>
      </c>
      <c r="BD25" s="24" t="n">
        <v>609</v>
      </c>
      <c r="BE25" s="24" t="n">
        <v>9</v>
      </c>
      <c r="BF25" s="27" t="inlineStr">
        <is>
          <t>3214929/DAXEUR/2026-07-29_56045244_DAXEUR_buy_loss</t>
        </is>
      </c>
      <c r="BG25" s="27" t="n"/>
    </row>
    <row r="26" ht="16" customHeight="1">
      <c r="A26" s="24" t="n">
        <v>25</v>
      </c>
      <c r="B26" s="26" t="n">
        <v>56050134</v>
      </c>
      <c r="C26" s="27" t="inlineStr">
        <is>
          <t>NDXUSD</t>
        </is>
      </c>
      <c r="D26" s="27" t="inlineStr">
        <is>
          <t>sell</t>
        </is>
      </c>
      <c r="E26" s="28" t="n">
        <v>0.01</v>
      </c>
      <c r="F26" s="29" t="n">
        <v>46232.7868965625</v>
      </c>
      <c r="G26" s="29" t="n">
        <v>46232.79405101852</v>
      </c>
      <c r="H26" s="27" t="inlineStr">
        <is>
          <t>Wednesday</t>
        </is>
      </c>
      <c r="I26" s="26" t="n">
        <v>18</v>
      </c>
      <c r="J26" s="27" t="inlineStr">
        <is>
          <t>NY Late</t>
        </is>
      </c>
      <c r="K26" s="27" t="inlineStr">
        <is>
          <t>2026-W31</t>
        </is>
      </c>
      <c r="L26" s="27" t="inlineStr">
        <is>
          <t>2026-07</t>
        </is>
      </c>
      <c r="M26" s="27" t="inlineStr">
        <is>
          <t>10m 18s</t>
        </is>
      </c>
      <c r="N26" s="30" t="n">
        <v>618.1449999809265</v>
      </c>
      <c r="O26" s="28" t="n">
        <v>10.302</v>
      </c>
      <c r="P26" s="27" t="inlineStr">
        <is>
          <t>C. 5-15 min</t>
        </is>
      </c>
      <c r="Q26" s="28" t="n">
        <v>27912.5</v>
      </c>
      <c r="R26" s="28" t="n">
        <v>27894.75</v>
      </c>
      <c r="S26" s="28" t="n">
        <v>27967.01</v>
      </c>
      <c r="T26" s="28" t="n">
        <v>27848.3</v>
      </c>
      <c r="U26" s="28" t="n">
        <v>27967.01</v>
      </c>
      <c r="V26" s="27" t="inlineStr">
        <is>
          <t>Unchanged</t>
        </is>
      </c>
      <c r="W26" s="30" t="n">
        <v>0</v>
      </c>
      <c r="X26" s="31" t="n">
        <v>5.45</v>
      </c>
      <c r="Y26" s="28" t="n">
        <v>1.178</v>
      </c>
      <c r="Z26" s="32" t="n">
        <v>0.327</v>
      </c>
      <c r="AA26" s="27" t="inlineStr">
        <is>
          <t>F. 0..0.5R</t>
        </is>
      </c>
      <c r="AB26" s="31" t="n">
        <v>1.78</v>
      </c>
      <c r="AC26" s="31" t="n">
        <v>0</v>
      </c>
      <c r="AD26" s="33" t="n">
        <v>1.78</v>
      </c>
      <c r="AE26" s="27" t="inlineStr">
        <is>
          <t>Win</t>
        </is>
      </c>
      <c r="AF26" s="27" t="inlineStr">
        <is>
          <t>Expert</t>
        </is>
      </c>
      <c r="AG26" s="30" t="n">
        <v>1775</v>
      </c>
      <c r="AH26" s="31" t="n">
        <v>3.76</v>
      </c>
      <c r="AI26" s="31" t="n">
        <v>-3.78</v>
      </c>
      <c r="AJ26" s="28" t="n">
        <v>0.6899999999999999</v>
      </c>
      <c r="AK26" s="28" t="n">
        <v>-0.694</v>
      </c>
      <c r="AL26" s="28" t="n">
        <v>27874.95</v>
      </c>
      <c r="AM26" s="28" t="n">
        <v>27950.25</v>
      </c>
      <c r="AN26" s="27" t="inlineStr">
        <is>
          <t>4m 05s</t>
        </is>
      </c>
      <c r="AO26" s="27" t="inlineStr">
        <is>
          <t>9m 04s</t>
        </is>
      </c>
      <c r="AP26" s="34" t="n">
        <v>69.40000000000001</v>
      </c>
      <c r="AQ26" s="28" t="n">
        <v>0.473</v>
      </c>
      <c r="AR26" s="31" t="n">
        <v>1.98</v>
      </c>
      <c r="AS26" s="28" t="n">
        <v>0.4987</v>
      </c>
      <c r="AT26" s="28" t="n">
        <v>0.7371</v>
      </c>
      <c r="AU26" s="28" t="n">
        <v>0.2357</v>
      </c>
      <c r="AV26" s="27" t="inlineStr">
        <is>
          <t>Yes</t>
        </is>
      </c>
      <c r="AW26" s="27" t="inlineStr">
        <is>
          <t>No</t>
        </is>
      </c>
      <c r="AX26" s="35" t="n">
        <v>0.552</v>
      </c>
      <c r="AY26" s="31" t="n">
        <v>988.8099999999999</v>
      </c>
      <c r="AZ26" s="31" t="n">
        <v>22.86</v>
      </c>
      <c r="BA26" s="34" t="n">
        <v>2.26</v>
      </c>
      <c r="BB26" s="36" t="n">
        <v>1</v>
      </c>
      <c r="BC26" s="27" t="inlineStr">
        <is>
          <t>ticks</t>
        </is>
      </c>
      <c r="BD26" s="24" t="n">
        <v>1698</v>
      </c>
      <c r="BE26" s="24" t="n">
        <v>9</v>
      </c>
      <c r="BF26" s="27" t="inlineStr">
        <is>
          <t>3214929/NDXUSD/2026-07-29_56050134_NDXUSD_sell_win</t>
        </is>
      </c>
      <c r="BG26" s="27" t="n"/>
    </row>
    <row r="27" ht="16" customHeight="1">
      <c r="A27" s="24" t="n">
        <v>26</v>
      </c>
      <c r="B27" s="26" t="n">
        <v>56052315</v>
      </c>
      <c r="C27" s="27" t="inlineStr">
        <is>
          <t>DAXEUR</t>
        </is>
      </c>
      <c r="D27" s="27" t="inlineStr">
        <is>
          <t>sell</t>
        </is>
      </c>
      <c r="E27" s="28" t="n">
        <v>0.02</v>
      </c>
      <c r="F27" s="29" t="n">
        <v>46232.79050825231</v>
      </c>
      <c r="G27" s="29" t="n">
        <v>46232.79656746528</v>
      </c>
      <c r="H27" s="27" t="inlineStr">
        <is>
          <t>Wednesday</t>
        </is>
      </c>
      <c r="I27" s="26" t="n">
        <v>18</v>
      </c>
      <c r="J27" s="27" t="inlineStr">
        <is>
          <t>NY Late</t>
        </is>
      </c>
      <c r="K27" s="27" t="inlineStr">
        <is>
          <t>2026-W31</t>
        </is>
      </c>
      <c r="L27" s="27" t="inlineStr">
        <is>
          <t>2026-07</t>
        </is>
      </c>
      <c r="M27" s="27" t="inlineStr">
        <is>
          <t>8m 44s</t>
        </is>
      </c>
      <c r="N27" s="30" t="n">
        <v>523.5159997940063</v>
      </c>
      <c r="O27" s="28" t="n">
        <v>8.725</v>
      </c>
      <c r="P27" s="27" t="inlineStr">
        <is>
          <t>C. 5-15 min</t>
        </is>
      </c>
      <c r="Q27" s="28" t="n">
        <v>25559.18</v>
      </c>
      <c r="R27" s="28" t="n">
        <v>25527.62</v>
      </c>
      <c r="S27" s="28" t="n">
        <v>25574.55</v>
      </c>
      <c r="T27" s="28" t="n">
        <v>25542.27</v>
      </c>
      <c r="U27" s="28" t="n">
        <v>25574.55</v>
      </c>
      <c r="V27" s="27" t="inlineStr">
        <is>
          <t>Unchanged</t>
        </is>
      </c>
      <c r="W27" s="30" t="n">
        <v>0</v>
      </c>
      <c r="X27" s="31" t="n">
        <v>3.54</v>
      </c>
      <c r="Y27" s="28" t="n">
        <v>1.102</v>
      </c>
      <c r="Z27" s="32" t="n">
        <v>2.04</v>
      </c>
      <c r="AA27" s="27" t="inlineStr">
        <is>
          <t>I. 2R..3R</t>
        </is>
      </c>
      <c r="AB27" s="31" t="n">
        <v>7.22</v>
      </c>
      <c r="AC27" s="31" t="n">
        <v>0</v>
      </c>
      <c r="AD27" s="33" t="n">
        <v>7.22</v>
      </c>
      <c r="AE27" s="27" t="inlineStr">
        <is>
          <t>Win</t>
        </is>
      </c>
      <c r="AF27" s="27" t="inlineStr">
        <is>
          <t>Take Profit</t>
        </is>
      </c>
      <c r="AG27" s="30" t="n">
        <v>3156</v>
      </c>
      <c r="AH27" s="31" t="n">
        <v>7.39</v>
      </c>
      <c r="AI27" s="31" t="n">
        <v>-2.99</v>
      </c>
      <c r="AJ27" s="28" t="n">
        <v>2.088</v>
      </c>
      <c r="AK27" s="28" t="n">
        <v>-0.845</v>
      </c>
      <c r="AL27" s="28" t="n">
        <v>25527.12</v>
      </c>
      <c r="AM27" s="28" t="n">
        <v>25572.12</v>
      </c>
      <c r="AN27" s="27" t="inlineStr">
        <is>
          <t>8m 44s</t>
        </is>
      </c>
      <c r="AO27" s="27" t="inlineStr">
        <is>
          <t>3m 49s</t>
        </is>
      </c>
      <c r="AP27" s="34" t="n">
        <v>84.5</v>
      </c>
      <c r="AQ27" s="28" t="n">
        <v>0.977</v>
      </c>
      <c r="AR27" s="31" t="n">
        <v>0.17</v>
      </c>
      <c r="AS27" s="28" t="n">
        <v>0.7124</v>
      </c>
      <c r="AT27" s="28" t="n">
        <v>0.9889</v>
      </c>
      <c r="AU27" s="28" t="n">
        <v>0.7013</v>
      </c>
      <c r="AV27" s="27" t="inlineStr">
        <is>
          <t>No</t>
        </is>
      </c>
      <c r="AW27" s="27" t="inlineStr">
        <is>
          <t>No</t>
        </is>
      </c>
      <c r="AX27" s="35" t="n">
        <v>0.358</v>
      </c>
      <c r="AY27" s="31" t="n">
        <v>996.03</v>
      </c>
      <c r="AZ27" s="31" t="n">
        <v>15.64</v>
      </c>
      <c r="BA27" s="34" t="n">
        <v>1.546</v>
      </c>
      <c r="BB27" s="36" t="n">
        <v>2</v>
      </c>
      <c r="BC27" s="27" t="inlineStr">
        <is>
          <t>ticks</t>
        </is>
      </c>
      <c r="BD27" s="24" t="n">
        <v>1006</v>
      </c>
      <c r="BE27" s="24" t="n">
        <v>9</v>
      </c>
      <c r="BF27" s="27" t="inlineStr">
        <is>
          <t>3214929/DAXEUR/2026-07-29_56052315_DAXEUR_sell_win</t>
        </is>
      </c>
      <c r="BG27" s="27" t="n"/>
    </row>
    <row r="28" ht="16" customHeight="1">
      <c r="A28" s="24" t="n">
        <v>27</v>
      </c>
      <c r="B28" s="26" t="n">
        <v>56054122</v>
      </c>
      <c r="C28" s="27" t="inlineStr">
        <is>
          <t>NDXUSD</t>
        </is>
      </c>
      <c r="D28" s="27" t="inlineStr">
        <is>
          <t>sell</t>
        </is>
      </c>
      <c r="E28" s="28" t="n">
        <v>0.01</v>
      </c>
      <c r="F28" s="29" t="n">
        <v>46232.79330836805</v>
      </c>
      <c r="G28" s="29" t="n">
        <v>46232.80611725694</v>
      </c>
      <c r="H28" s="27" t="inlineStr">
        <is>
          <t>Wednesday</t>
        </is>
      </c>
      <c r="I28" s="26" t="n">
        <v>19</v>
      </c>
      <c r="J28" s="27" t="inlineStr">
        <is>
          <t>NY Late</t>
        </is>
      </c>
      <c r="K28" s="27" t="inlineStr">
        <is>
          <t>2026-W31</t>
        </is>
      </c>
      <c r="L28" s="27" t="inlineStr">
        <is>
          <t>2026-07</t>
        </is>
      </c>
      <c r="M28" s="27" t="inlineStr">
        <is>
          <t>18m 27s</t>
        </is>
      </c>
      <c r="N28" s="30" t="n">
        <v>1106.68799996376</v>
      </c>
      <c r="O28" s="28" t="n">
        <v>18.445</v>
      </c>
      <c r="P28" s="27" t="inlineStr">
        <is>
          <t>D. 15-30 min</t>
        </is>
      </c>
      <c r="Q28" s="28" t="n">
        <v>27936.2</v>
      </c>
      <c r="R28" s="28" t="n">
        <v>27633.95</v>
      </c>
      <c r="S28" s="28" t="n">
        <v>27978.35</v>
      </c>
      <c r="T28" s="28" t="n">
        <v>27892.78</v>
      </c>
      <c r="U28" s="28" t="n">
        <v>27978.35</v>
      </c>
      <c r="V28" s="27" t="inlineStr">
        <is>
          <t>Unchanged</t>
        </is>
      </c>
      <c r="W28" s="30" t="n">
        <v>0</v>
      </c>
      <c r="X28" s="31" t="n">
        <v>4.22</v>
      </c>
      <c r="Y28" s="28" t="n">
        <v>1.028</v>
      </c>
      <c r="Z28" s="32" t="n">
        <v>7.164</v>
      </c>
      <c r="AA28" s="27" t="inlineStr">
        <is>
          <t>J. &gt;= 3R</t>
        </is>
      </c>
      <c r="AB28" s="31" t="n">
        <v>30.23</v>
      </c>
      <c r="AC28" s="31" t="n">
        <v>0</v>
      </c>
      <c r="AD28" s="33" t="n">
        <v>30.23</v>
      </c>
      <c r="AE28" s="27" t="inlineStr">
        <is>
          <t>Win</t>
        </is>
      </c>
      <c r="AF28" s="27" t="inlineStr">
        <is>
          <t>Take Profit</t>
        </is>
      </c>
      <c r="AG28" s="30" t="n">
        <v>30225</v>
      </c>
      <c r="AH28" s="31" t="n">
        <v>30.6</v>
      </c>
      <c r="AI28" s="31" t="n">
        <v>-0.39</v>
      </c>
      <c r="AJ28" s="28" t="n">
        <v>7.251</v>
      </c>
      <c r="AK28" s="28" t="n">
        <v>-0.092</v>
      </c>
      <c r="AL28" s="28" t="n">
        <v>27630.25</v>
      </c>
      <c r="AM28" s="28" t="n">
        <v>27940.05</v>
      </c>
      <c r="AN28" s="27" t="inlineStr">
        <is>
          <t>18m 27s</t>
        </is>
      </c>
      <c r="AO28" s="27" t="inlineStr">
        <is>
          <t>1.1s</t>
        </is>
      </c>
      <c r="AP28" s="34" t="n">
        <v>9.199999999999999</v>
      </c>
      <c r="AQ28" s="28" t="n">
        <v>0.988</v>
      </c>
      <c r="AR28" s="31" t="n">
        <v>0.37</v>
      </c>
      <c r="AS28" s="28" t="n">
        <v>0.9876</v>
      </c>
      <c r="AT28" s="28" t="n">
        <v>0.9881</v>
      </c>
      <c r="AU28" s="28" t="n">
        <v>0.9756</v>
      </c>
      <c r="AV28" s="27" t="inlineStr">
        <is>
          <t>No</t>
        </is>
      </c>
      <c r="AW28" s="27" t="inlineStr">
        <is>
          <t>No</t>
        </is>
      </c>
      <c r="AX28" s="35" t="n">
        <v>0.424</v>
      </c>
      <c r="AY28" s="31" t="n">
        <v>1026.26</v>
      </c>
      <c r="AZ28" s="31" t="n">
        <v>0</v>
      </c>
      <c r="BA28" s="34" t="n">
        <v>0</v>
      </c>
      <c r="BB28" s="36" t="n">
        <v>3</v>
      </c>
      <c r="BC28" s="27" t="inlineStr">
        <is>
          <t>ticks</t>
        </is>
      </c>
      <c r="BD28" s="24" t="n">
        <v>3066</v>
      </c>
      <c r="BE28" s="24" t="n">
        <v>9</v>
      </c>
      <c r="BF28" s="27" t="inlineStr">
        <is>
          <t>3214929/NDXUSD/2026-07-29_56054122_NDXUSD_sell_win</t>
        </is>
      </c>
      <c r="BG28" s="27" t="n"/>
    </row>
    <row r="29" ht="16" customHeight="1">
      <c r="A29" s="24" t="n">
        <v>28</v>
      </c>
      <c r="B29" s="26" t="n">
        <v>56063306</v>
      </c>
      <c r="C29" s="27" t="inlineStr">
        <is>
          <t>NDXUSD</t>
        </is>
      </c>
      <c r="D29" s="27" t="inlineStr">
        <is>
          <t>buy</t>
        </is>
      </c>
      <c r="E29" s="28" t="n">
        <v>0.01</v>
      </c>
      <c r="F29" s="29" t="n">
        <v>46232.81262675926</v>
      </c>
      <c r="G29" s="29" t="n">
        <v>46232.81474069444</v>
      </c>
      <c r="H29" s="27" t="inlineStr">
        <is>
          <t>Wednesday</t>
        </is>
      </c>
      <c r="I29" s="26" t="n">
        <v>19</v>
      </c>
      <c r="J29" s="27" t="inlineStr">
        <is>
          <t>NY Late</t>
        </is>
      </c>
      <c r="K29" s="27" t="inlineStr">
        <is>
          <t>2026-W31</t>
        </is>
      </c>
      <c r="L29" s="27" t="inlineStr">
        <is>
          <t>2026-07</t>
        </is>
      </c>
      <c r="M29" s="27" t="inlineStr">
        <is>
          <t>3m 03s</t>
        </is>
      </c>
      <c r="N29" s="30" t="n">
        <v>182.6440000534058</v>
      </c>
      <c r="O29" s="28" t="n">
        <v>3.044</v>
      </c>
      <c r="P29" s="27" t="inlineStr">
        <is>
          <t>B. 1-5 min</t>
        </is>
      </c>
      <c r="Q29" s="28" t="n">
        <v>27559.55</v>
      </c>
      <c r="R29" s="28" t="n">
        <v>27514.1</v>
      </c>
      <c r="S29" s="28" t="n">
        <v>27514.74</v>
      </c>
      <c r="T29" s="28" t="n">
        <v>27606.74</v>
      </c>
      <c r="U29" s="28" t="n">
        <v>27514.74</v>
      </c>
      <c r="V29" s="27" t="inlineStr">
        <is>
          <t>Unchanged</t>
        </is>
      </c>
      <c r="W29" s="30" t="n">
        <v>0</v>
      </c>
      <c r="X29" s="31" t="n">
        <v>4.48</v>
      </c>
      <c r="Y29" s="28" t="n">
        <v>1.054</v>
      </c>
      <c r="Z29" s="32" t="n">
        <v>-1.016</v>
      </c>
      <c r="AA29" s="27" t="inlineStr">
        <is>
          <t>B. -1.5R..-1R</t>
        </is>
      </c>
      <c r="AB29" s="31" t="n">
        <v>-4.55</v>
      </c>
      <c r="AC29" s="31" t="n">
        <v>0</v>
      </c>
      <c r="AD29" s="33" t="n">
        <v>-4.55</v>
      </c>
      <c r="AE29" s="27" t="inlineStr">
        <is>
          <t>Loss</t>
        </is>
      </c>
      <c r="AF29" s="27" t="inlineStr">
        <is>
          <t>Stop Loss</t>
        </is>
      </c>
      <c r="AG29" s="30" t="n">
        <v>-4545</v>
      </c>
      <c r="AH29" s="31" t="n">
        <v>3.42</v>
      </c>
      <c r="AI29" s="31" t="n">
        <v>-4.75</v>
      </c>
      <c r="AJ29" s="28" t="n">
        <v>0.763</v>
      </c>
      <c r="AK29" s="28" t="n">
        <v>-1.06</v>
      </c>
      <c r="AL29" s="28" t="n">
        <v>27593.7</v>
      </c>
      <c r="AM29" s="28" t="n">
        <v>27512.1</v>
      </c>
      <c r="AN29" s="27" t="inlineStr">
        <is>
          <t>59s</t>
        </is>
      </c>
      <c r="AO29" s="27" t="inlineStr">
        <is>
          <t>3m 03s</t>
        </is>
      </c>
      <c r="AP29" s="34" t="n">
        <v>106</v>
      </c>
      <c r="AQ29" s="28" t="n">
        <v>-1.33</v>
      </c>
      <c r="AR29" s="31" t="n">
        <v>7.97</v>
      </c>
      <c r="AS29" s="28" t="n">
        <v>0.4185</v>
      </c>
      <c r="AT29" s="28" t="n">
        <v>0.0245</v>
      </c>
      <c r="AU29" s="28" t="n">
        <v>-0.5570000000000001</v>
      </c>
      <c r="AV29" s="27" t="inlineStr">
        <is>
          <t>Yes</t>
        </is>
      </c>
      <c r="AW29" s="27" t="inlineStr">
        <is>
          <t>No</t>
        </is>
      </c>
      <c r="AX29" s="35" t="n">
        <v>0.437</v>
      </c>
      <c r="AY29" s="31" t="n">
        <v>1021.71</v>
      </c>
      <c r="AZ29" s="31" t="n">
        <v>4.55</v>
      </c>
      <c r="BA29" s="34" t="n">
        <v>0.443</v>
      </c>
      <c r="BB29" s="36" t="n">
        <v>-1</v>
      </c>
      <c r="BC29" s="27" t="inlineStr">
        <is>
          <t>ticks</t>
        </is>
      </c>
      <c r="BD29" s="24" t="n">
        <v>516</v>
      </c>
      <c r="BE29" s="24" t="n">
        <v>9</v>
      </c>
      <c r="BF29" s="27" t="inlineStr">
        <is>
          <t>3214929/NDXUSD/2026-07-29_56063306_NDXUSD_buy_loss</t>
        </is>
      </c>
      <c r="BG29" s="27" t="n"/>
    </row>
    <row r="30" ht="16" customHeight="1">
      <c r="A30" s="24" t="n">
        <v>29</v>
      </c>
      <c r="B30" s="26" t="n">
        <v>56066262</v>
      </c>
      <c r="C30" s="27" t="inlineStr">
        <is>
          <t>NDXUSD</t>
        </is>
      </c>
      <c r="D30" s="27" t="inlineStr">
        <is>
          <t>sell</t>
        </is>
      </c>
      <c r="E30" s="28" t="n">
        <v>0.01</v>
      </c>
      <c r="F30" s="29" t="n">
        <v>46232.81809825231</v>
      </c>
      <c r="G30" s="29" t="n">
        <v>46232.81953793982</v>
      </c>
      <c r="H30" s="27" t="inlineStr">
        <is>
          <t>Wednesday</t>
        </is>
      </c>
      <c r="I30" s="26" t="n">
        <v>19</v>
      </c>
      <c r="J30" s="27" t="inlineStr">
        <is>
          <t>NY Late</t>
        </is>
      </c>
      <c r="K30" s="27" t="inlineStr">
        <is>
          <t>2026-W31</t>
        </is>
      </c>
      <c r="L30" s="27" t="inlineStr">
        <is>
          <t>2026-07</t>
        </is>
      </c>
      <c r="M30" s="27" t="inlineStr">
        <is>
          <t>2m 04s</t>
        </is>
      </c>
      <c r="N30" s="30" t="n">
        <v>124.3890001773834</v>
      </c>
      <c r="O30" s="28" t="n">
        <v>2.073</v>
      </c>
      <c r="P30" s="27" t="inlineStr">
        <is>
          <t>B. 1-5 min</t>
        </is>
      </c>
      <c r="Q30" s="28" t="n">
        <v>27419.4</v>
      </c>
      <c r="R30" s="28" t="n">
        <v>27326.95</v>
      </c>
      <c r="S30" s="28" t="n">
        <v>27494.68</v>
      </c>
      <c r="T30" s="28" t="n">
        <v>27334.49</v>
      </c>
      <c r="U30" s="28" t="n">
        <v>27494.68</v>
      </c>
      <c r="V30" s="27" t="inlineStr">
        <is>
          <t>Unchanged</t>
        </is>
      </c>
      <c r="W30" s="30" t="n">
        <v>0</v>
      </c>
      <c r="X30" s="31" t="n">
        <v>7.53</v>
      </c>
      <c r="Y30" s="28" t="n">
        <v>1.127</v>
      </c>
      <c r="Z30" s="32" t="n">
        <v>1.228</v>
      </c>
      <c r="AA30" s="27" t="inlineStr">
        <is>
          <t>H. 1R..2R</t>
        </is>
      </c>
      <c r="AB30" s="31" t="n">
        <v>9.25</v>
      </c>
      <c r="AC30" s="31" t="n">
        <v>0</v>
      </c>
      <c r="AD30" s="33" t="n">
        <v>9.25</v>
      </c>
      <c r="AE30" s="27" t="inlineStr">
        <is>
          <t>Win</t>
        </is>
      </c>
      <c r="AF30" s="27" t="inlineStr">
        <is>
          <t>Take Profit</t>
        </is>
      </c>
      <c r="AG30" s="30" t="n">
        <v>9245</v>
      </c>
      <c r="AH30" s="31" t="n">
        <v>9.25</v>
      </c>
      <c r="AI30" s="31" t="n">
        <v>-0.87</v>
      </c>
      <c r="AJ30" s="28" t="n">
        <v>1.228</v>
      </c>
      <c r="AK30" s="28" t="n">
        <v>-0.116</v>
      </c>
      <c r="AL30" s="28" t="n">
        <v>27326.95</v>
      </c>
      <c r="AM30" s="28" t="n">
        <v>27428.05</v>
      </c>
      <c r="AN30" s="27" t="inlineStr">
        <is>
          <t>2m 04s</t>
        </is>
      </c>
      <c r="AO30" s="27" t="inlineStr">
        <is>
          <t>0.0s</t>
        </is>
      </c>
      <c r="AP30" s="34" t="n">
        <v>11.6</v>
      </c>
      <c r="AQ30" s="28" t="n">
        <v>1</v>
      </c>
      <c r="AR30" s="31" t="n">
        <v>0</v>
      </c>
      <c r="AS30" s="28" t="n">
        <v>0.9144</v>
      </c>
      <c r="AT30" s="28" t="n">
        <v>1</v>
      </c>
      <c r="AU30" s="28" t="n">
        <v>0.9144</v>
      </c>
      <c r="AV30" s="27" t="inlineStr">
        <is>
          <t>No</t>
        </is>
      </c>
      <c r="AW30" s="27" t="inlineStr">
        <is>
          <t>No</t>
        </is>
      </c>
      <c r="AX30" s="35" t="n">
        <v>0.737</v>
      </c>
      <c r="AY30" s="31" t="n">
        <v>1030.96</v>
      </c>
      <c r="AZ30" s="31" t="n">
        <v>0</v>
      </c>
      <c r="BA30" s="34" t="n">
        <v>0</v>
      </c>
      <c r="BB30" s="36" t="n">
        <v>1</v>
      </c>
      <c r="BC30" s="27" t="inlineStr">
        <is>
          <t>ticks</t>
        </is>
      </c>
      <c r="BD30" s="24" t="n">
        <v>353</v>
      </c>
      <c r="BE30" s="24" t="n">
        <v>9</v>
      </c>
      <c r="BF30" s="27" t="inlineStr">
        <is>
          <t>3214929/NDXUSD/2026-07-29_56066262_NDXUSD_sell_win</t>
        </is>
      </c>
      <c r="BG30" s="27" t="n"/>
    </row>
    <row r="31" ht="16" customHeight="1">
      <c r="A31" s="24" t="n">
        <v>30</v>
      </c>
      <c r="B31" s="26" t="n">
        <v>56068541</v>
      </c>
      <c r="C31" s="27" t="inlineStr">
        <is>
          <t>NDXUSD</t>
        </is>
      </c>
      <c r="D31" s="27" t="inlineStr">
        <is>
          <t>buy</t>
        </is>
      </c>
      <c r="E31" s="28" t="n">
        <v>0.02</v>
      </c>
      <c r="F31" s="29" t="n">
        <v>46232.82488332176</v>
      </c>
      <c r="G31" s="29" t="n">
        <v>46232.82990302084</v>
      </c>
      <c r="H31" s="27" t="inlineStr">
        <is>
          <t>Wednesday</t>
        </is>
      </c>
      <c r="I31" s="26" t="n">
        <v>19</v>
      </c>
      <c r="J31" s="27" t="inlineStr">
        <is>
          <t>NY Late</t>
        </is>
      </c>
      <c r="K31" s="27" t="inlineStr">
        <is>
          <t>2026-W31</t>
        </is>
      </c>
      <c r="L31" s="27" t="inlineStr">
        <is>
          <t>2026-07</t>
        </is>
      </c>
      <c r="M31" s="27" t="inlineStr">
        <is>
          <t>7m 14s</t>
        </is>
      </c>
      <c r="N31" s="30" t="n">
        <v>433.7020001411438</v>
      </c>
      <c r="O31" s="28" t="n">
        <v>7.228</v>
      </c>
      <c r="P31" s="27" t="inlineStr">
        <is>
          <t>C. 5-15 min</t>
        </is>
      </c>
      <c r="Q31" s="28" t="n">
        <v>27275.25</v>
      </c>
      <c r="R31" s="28" t="n">
        <v>27226.5</v>
      </c>
      <c r="S31" s="28" t="n">
        <v>27226.92</v>
      </c>
      <c r="T31" s="28" t="n">
        <v>27330.18</v>
      </c>
      <c r="U31" s="28" t="n">
        <v>27226.92</v>
      </c>
      <c r="V31" s="27" t="inlineStr">
        <is>
          <t>Unchanged</t>
        </is>
      </c>
      <c r="W31" s="30" t="n">
        <v>0</v>
      </c>
      <c r="X31" s="31" t="n">
        <v>9.67</v>
      </c>
      <c r="Y31" s="28" t="n">
        <v>1.137</v>
      </c>
      <c r="Z31" s="32" t="n">
        <v>-1.008</v>
      </c>
      <c r="AA31" s="27" t="inlineStr">
        <is>
          <t>B. -1.5R..-1R</t>
        </is>
      </c>
      <c r="AB31" s="31" t="n">
        <v>-9.75</v>
      </c>
      <c r="AC31" s="31" t="n">
        <v>0</v>
      </c>
      <c r="AD31" s="33" t="n">
        <v>-9.75</v>
      </c>
      <c r="AE31" s="27" t="inlineStr">
        <is>
          <t>Loss</t>
        </is>
      </c>
      <c r="AF31" s="27" t="inlineStr">
        <is>
          <t>Stop Loss</t>
        </is>
      </c>
      <c r="AG31" s="30" t="n">
        <v>-4875</v>
      </c>
      <c r="AH31" s="31" t="n">
        <v>16.83</v>
      </c>
      <c r="AI31" s="31" t="n">
        <v>-10.11</v>
      </c>
      <c r="AJ31" s="28" t="n">
        <v>1.74</v>
      </c>
      <c r="AK31" s="28" t="n">
        <v>-1.046</v>
      </c>
      <c r="AL31" s="28" t="n">
        <v>27359.4</v>
      </c>
      <c r="AM31" s="28" t="n">
        <v>27224.7</v>
      </c>
      <c r="AN31" s="27" t="inlineStr">
        <is>
          <t>2m 01s</t>
        </is>
      </c>
      <c r="AO31" s="27" t="inlineStr">
        <is>
          <t>7m 14s</t>
        </is>
      </c>
      <c r="AP31" s="34" t="n">
        <v>104.6</v>
      </c>
      <c r="AQ31" s="28" t="n">
        <v>-0.579</v>
      </c>
      <c r="AR31" s="31" t="n">
        <v>26.58</v>
      </c>
      <c r="AS31" s="28" t="n">
        <v>0.6247</v>
      </c>
      <c r="AT31" s="28" t="n">
        <v>0.0134</v>
      </c>
      <c r="AU31" s="28" t="n">
        <v>-0.3619</v>
      </c>
      <c r="AV31" s="27" t="inlineStr">
        <is>
          <t>Yes</t>
        </is>
      </c>
      <c r="AW31" s="27" t="inlineStr">
        <is>
          <t>No</t>
        </is>
      </c>
      <c r="AX31" s="35" t="n">
        <v>0.9379999999999999</v>
      </c>
      <c r="AY31" s="31" t="n">
        <v>1021.21</v>
      </c>
      <c r="AZ31" s="31" t="n">
        <v>9.75</v>
      </c>
      <c r="BA31" s="34" t="n">
        <v>0.946</v>
      </c>
      <c r="BB31" s="36" t="n">
        <v>-1</v>
      </c>
      <c r="BC31" s="27" t="inlineStr">
        <is>
          <t>ticks</t>
        </is>
      </c>
      <c r="BD31" s="24" t="n">
        <v>1212</v>
      </c>
      <c r="BE31" s="24" t="n">
        <v>9</v>
      </c>
      <c r="BF31" s="27" t="inlineStr">
        <is>
          <t>3214929/NDXUSD/2026-07-29_56068541_NDXUSD_buy_loss</t>
        </is>
      </c>
      <c r="BG31" s="27" t="n"/>
    </row>
    <row r="32" ht="16" customHeight="1">
      <c r="A32" s="24" t="n">
        <v>31</v>
      </c>
      <c r="B32" s="26" t="n">
        <v>56072252</v>
      </c>
      <c r="C32" s="27" t="inlineStr">
        <is>
          <t>DJIUSD</t>
        </is>
      </c>
      <c r="D32" s="27" t="inlineStr">
        <is>
          <t>buy</t>
        </is>
      </c>
      <c r="E32" s="28" t="n">
        <v>0.01</v>
      </c>
      <c r="F32" s="29" t="n">
        <v>46232.83369971065</v>
      </c>
      <c r="G32" s="29" t="n">
        <v>46232.83794856482</v>
      </c>
      <c r="H32" s="27" t="inlineStr">
        <is>
          <t>Wednesday</t>
        </is>
      </c>
      <c r="I32" s="26" t="n">
        <v>20</v>
      </c>
      <c r="J32" s="27" t="inlineStr">
        <is>
          <t>NY Late</t>
        </is>
      </c>
      <c r="K32" s="27" t="inlineStr">
        <is>
          <t>2026-W31</t>
        </is>
      </c>
      <c r="L32" s="27" t="inlineStr">
        <is>
          <t>2026-07</t>
        </is>
      </c>
      <c r="M32" s="27" t="inlineStr">
        <is>
          <t>6m 07s</t>
        </is>
      </c>
      <c r="N32" s="30" t="n">
        <v>367.1010000705719</v>
      </c>
      <c r="O32" s="28" t="n">
        <v>6.118</v>
      </c>
      <c r="P32" s="27" t="inlineStr">
        <is>
          <t>C. 5-15 min</t>
        </is>
      </c>
      <c r="Q32" s="28" t="n">
        <v>51576.24</v>
      </c>
      <c r="R32" s="28" t="n">
        <v>51573.45</v>
      </c>
      <c r="S32" s="28" t="n">
        <v>51491</v>
      </c>
      <c r="T32" s="28" t="n">
        <v>51668.95</v>
      </c>
      <c r="U32" s="28" t="n">
        <v>51576.24</v>
      </c>
      <c r="V32" s="27" t="inlineStr">
        <is>
          <t>Breakeven</t>
        </is>
      </c>
      <c r="W32" s="30" t="n">
        <v>8524</v>
      </c>
      <c r="X32" s="31" t="n">
        <v>8.52</v>
      </c>
      <c r="Y32" s="28" t="n">
        <v>1.088</v>
      </c>
      <c r="Z32" s="32" t="n">
        <v>-0.033</v>
      </c>
      <c r="AA32" s="27" t="inlineStr">
        <is>
          <t>D. -0.5R..0</t>
        </is>
      </c>
      <c r="AB32" s="31" t="n">
        <v>-0.28</v>
      </c>
      <c r="AC32" s="31" t="n">
        <v>0</v>
      </c>
      <c r="AD32" s="33" t="n">
        <v>-0.28</v>
      </c>
      <c r="AE32" s="27" t="inlineStr">
        <is>
          <t>Loss</t>
        </is>
      </c>
      <c r="AF32" s="27" t="inlineStr">
        <is>
          <t>Stop Loss</t>
        </is>
      </c>
      <c r="AG32" s="30" t="n">
        <v>-279</v>
      </c>
      <c r="AH32" s="31" t="n">
        <v>6.72</v>
      </c>
      <c r="AI32" s="31" t="n">
        <v>-2.98</v>
      </c>
      <c r="AJ32" s="28" t="n">
        <v>0.789</v>
      </c>
      <c r="AK32" s="28" t="n">
        <v>-0.35</v>
      </c>
      <c r="AL32" s="28" t="n">
        <v>51643.45</v>
      </c>
      <c r="AM32" s="28" t="n">
        <v>51546.45</v>
      </c>
      <c r="AN32" s="27" t="inlineStr">
        <is>
          <t>34s</t>
        </is>
      </c>
      <c r="AO32" s="27" t="inlineStr">
        <is>
          <t>5m 34s</t>
        </is>
      </c>
      <c r="AP32" s="34" t="n">
        <v>35</v>
      </c>
      <c r="AQ32" s="28" t="n">
        <v>-0.042</v>
      </c>
      <c r="AR32" s="31" t="n">
        <v>7</v>
      </c>
      <c r="AS32" s="28" t="n">
        <v>0.6929</v>
      </c>
      <c r="AT32" s="28" t="n">
        <v>0.2784</v>
      </c>
      <c r="AU32" s="28" t="n">
        <v>-0.0288</v>
      </c>
      <c r="AV32" s="27" t="inlineStr">
        <is>
          <t>Yes</t>
        </is>
      </c>
      <c r="AW32" s="27" t="inlineStr">
        <is>
          <t>No</t>
        </is>
      </c>
      <c r="AX32" s="35" t="n">
        <v>0.834</v>
      </c>
      <c r="AY32" s="31" t="n">
        <v>1020.93</v>
      </c>
      <c r="AZ32" s="31" t="n">
        <v>10.03</v>
      </c>
      <c r="BA32" s="34" t="n">
        <v>0.973</v>
      </c>
      <c r="BB32" s="36" t="n">
        <v>-2</v>
      </c>
      <c r="BC32" s="27" t="inlineStr">
        <is>
          <t>ticks</t>
        </is>
      </c>
      <c r="BD32" s="24" t="n">
        <v>799</v>
      </c>
      <c r="BE32" s="24" t="n">
        <v>9</v>
      </c>
      <c r="BF32" s="27" t="inlineStr">
        <is>
          <t>3214929/DJIUSD/2026-07-29_56072252_DJIUSD_buy_loss</t>
        </is>
      </c>
      <c r="BG32" s="27" t="n"/>
    </row>
    <row r="33" ht="16" customHeight="1">
      <c r="A33" s="24" t="n">
        <v>32</v>
      </c>
      <c r="B33" s="26" t="n">
        <v>56074196</v>
      </c>
      <c r="C33" s="27" t="inlineStr">
        <is>
          <t>NDXUSD</t>
        </is>
      </c>
      <c r="D33" s="27" t="inlineStr">
        <is>
          <t>sell</t>
        </is>
      </c>
      <c r="E33" s="28" t="n">
        <v>0.01</v>
      </c>
      <c r="F33" s="29" t="n">
        <v>46232.840331875</v>
      </c>
      <c r="G33" s="29" t="n">
        <v>46232.84243670139</v>
      </c>
      <c r="H33" s="27" t="inlineStr">
        <is>
          <t>Wednesday</t>
        </is>
      </c>
      <c r="I33" s="26" t="n">
        <v>20</v>
      </c>
      <c r="J33" s="27" t="inlineStr">
        <is>
          <t>NY Late</t>
        </is>
      </c>
      <c r="K33" s="27" t="inlineStr">
        <is>
          <t>2026-W31</t>
        </is>
      </c>
      <c r="L33" s="27" t="inlineStr">
        <is>
          <t>2026-07</t>
        </is>
      </c>
      <c r="M33" s="27" t="inlineStr">
        <is>
          <t>3m 02s</t>
        </is>
      </c>
      <c r="N33" s="30" t="n">
        <v>181.856999874115</v>
      </c>
      <c r="O33" s="28" t="n">
        <v>3.031</v>
      </c>
      <c r="P33" s="27" t="inlineStr">
        <is>
          <t>B. 1-5 min</t>
        </is>
      </c>
      <c r="Q33" s="28" t="n">
        <v>27105.95</v>
      </c>
      <c r="R33" s="28" t="n">
        <v>27166.6</v>
      </c>
      <c r="S33" s="28" t="n">
        <v>27164.24</v>
      </c>
      <c r="T33" s="28" t="n">
        <v>27025.87</v>
      </c>
      <c r="U33" s="28" t="n">
        <v>27164.24</v>
      </c>
      <c r="V33" s="27" t="inlineStr">
        <is>
          <t>Unchanged</t>
        </is>
      </c>
      <c r="W33" s="30" t="n">
        <v>0</v>
      </c>
      <c r="X33" s="31" t="n">
        <v>5.83</v>
      </c>
      <c r="Y33" s="28" t="n">
        <v>1.374</v>
      </c>
      <c r="Z33" s="32" t="n">
        <v>-1.041</v>
      </c>
      <c r="AA33" s="27" t="inlineStr">
        <is>
          <t>B. -1.5R..-1R</t>
        </is>
      </c>
      <c r="AB33" s="31" t="n">
        <v>-6.07</v>
      </c>
      <c r="AC33" s="31" t="n">
        <v>0</v>
      </c>
      <c r="AD33" s="33" t="n">
        <v>-6.07</v>
      </c>
      <c r="AE33" s="27" t="inlineStr">
        <is>
          <t>Loss</t>
        </is>
      </c>
      <c r="AF33" s="27" t="inlineStr">
        <is>
          <t>Stop Loss</t>
        </is>
      </c>
      <c r="AG33" s="30" t="n">
        <v>-6065</v>
      </c>
      <c r="AH33" s="31" t="n">
        <v>2.09</v>
      </c>
      <c r="AI33" s="31" t="n">
        <v>-6.07</v>
      </c>
      <c r="AJ33" s="28" t="n">
        <v>0.358</v>
      </c>
      <c r="AK33" s="28" t="n">
        <v>-1.041</v>
      </c>
      <c r="AL33" s="28" t="n">
        <v>27085.1</v>
      </c>
      <c r="AM33" s="28" t="n">
        <v>27166.6</v>
      </c>
      <c r="AN33" s="27" t="inlineStr">
        <is>
          <t>1m 11s</t>
        </is>
      </c>
      <c r="AO33" s="27" t="inlineStr">
        <is>
          <t>3m 02s</t>
        </is>
      </c>
      <c r="AP33" s="34" t="n">
        <v>104.1</v>
      </c>
      <c r="AQ33" s="28" t="n">
        <v>-2.904</v>
      </c>
      <c r="AR33" s="31" t="n">
        <v>8.16</v>
      </c>
      <c r="AS33" s="28" t="n">
        <v>0.2558</v>
      </c>
      <c r="AT33" s="28" t="n">
        <v>0</v>
      </c>
      <c r="AU33" s="28" t="n">
        <v>-0.7442</v>
      </c>
      <c r="AV33" s="27" t="inlineStr">
        <is>
          <t>Yes</t>
        </is>
      </c>
      <c r="AW33" s="27" t="inlineStr">
        <is>
          <t>No</t>
        </is>
      </c>
      <c r="AX33" s="35" t="n">
        <v>0.571</v>
      </c>
      <c r="AY33" s="31" t="n">
        <v>1014.86</v>
      </c>
      <c r="AZ33" s="31" t="n">
        <v>16.1</v>
      </c>
      <c r="BA33" s="34" t="n">
        <v>1.562</v>
      </c>
      <c r="BB33" s="36" t="n">
        <v>-3</v>
      </c>
      <c r="BC33" s="27" t="inlineStr">
        <is>
          <t>ticks</t>
        </is>
      </c>
      <c r="BD33" s="24" t="n">
        <v>496</v>
      </c>
      <c r="BE33" s="24" t="n">
        <v>9</v>
      </c>
      <c r="BF33" s="27" t="inlineStr">
        <is>
          <t>3214929/NDXUSD/2026-07-29_56074196_NDXUSD_sell_loss</t>
        </is>
      </c>
      <c r="BG33" s="27" t="n"/>
    </row>
    <row r="34" ht="16" customHeight="1">
      <c r="A34" s="24" t="n">
        <v>33</v>
      </c>
      <c r="B34" s="26" t="n">
        <v>56075382</v>
      </c>
      <c r="C34" s="27" t="inlineStr">
        <is>
          <t>DJIUSD</t>
        </is>
      </c>
      <c r="D34" s="27" t="inlineStr">
        <is>
          <t>buy</t>
        </is>
      </c>
      <c r="E34" s="28" t="n">
        <v>0.01</v>
      </c>
      <c r="F34" s="29" t="n">
        <v>46232.84479731481</v>
      </c>
      <c r="G34" s="29" t="n">
        <v>46232.84779542824</v>
      </c>
      <c r="H34" s="27" t="inlineStr">
        <is>
          <t>Wednesday</t>
        </is>
      </c>
      <c r="I34" s="26" t="n">
        <v>20</v>
      </c>
      <c r="J34" s="27" t="inlineStr">
        <is>
          <t>NY Late</t>
        </is>
      </c>
      <c r="K34" s="27" t="inlineStr">
        <is>
          <t>2026-W31</t>
        </is>
      </c>
      <c r="L34" s="27" t="inlineStr">
        <is>
          <t>2026-07</t>
        </is>
      </c>
      <c r="M34" s="27" t="inlineStr">
        <is>
          <t>4m 19s</t>
        </is>
      </c>
      <c r="N34" s="30" t="n">
        <v>259.0370001792908</v>
      </c>
      <c r="O34" s="28" t="n">
        <v>4.317</v>
      </c>
      <c r="P34" s="27" t="inlineStr">
        <is>
          <t>B. 1-5 min</t>
        </is>
      </c>
      <c r="Q34" s="28" t="n">
        <v>51552.99</v>
      </c>
      <c r="R34" s="28" t="n">
        <v>51539.19999999999</v>
      </c>
      <c r="S34" s="28" t="n">
        <v>51501.53</v>
      </c>
      <c r="T34" s="28" t="n">
        <v>51609.6</v>
      </c>
      <c r="U34" s="28" t="n">
        <v>51501.53</v>
      </c>
      <c r="V34" s="27" t="inlineStr">
        <is>
          <t>Unchanged</t>
        </is>
      </c>
      <c r="W34" s="30" t="n">
        <v>0</v>
      </c>
      <c r="X34" s="31" t="n">
        <v>5.15</v>
      </c>
      <c r="Y34" s="28" t="n">
        <v>1.099</v>
      </c>
      <c r="Z34" s="32" t="n">
        <v>-0.268</v>
      </c>
      <c r="AA34" s="27" t="inlineStr">
        <is>
          <t>D. -0.5R..0</t>
        </is>
      </c>
      <c r="AB34" s="31" t="n">
        <v>-1.38</v>
      </c>
      <c r="AC34" s="31" t="n">
        <v>0</v>
      </c>
      <c r="AD34" s="33" t="n">
        <v>-1.38</v>
      </c>
      <c r="AE34" s="27" t="inlineStr">
        <is>
          <t>Loss</t>
        </is>
      </c>
      <c r="AF34" s="27" t="inlineStr">
        <is>
          <t>Expert</t>
        </is>
      </c>
      <c r="AG34" s="30" t="n">
        <v>-1379</v>
      </c>
      <c r="AH34" s="31" t="n">
        <v>0.37</v>
      </c>
      <c r="AI34" s="31" t="n">
        <v>-3.18</v>
      </c>
      <c r="AJ34" s="28" t="n">
        <v>0.07199999999999999</v>
      </c>
      <c r="AK34" s="28" t="n">
        <v>-0.617</v>
      </c>
      <c r="AL34" s="28" t="n">
        <v>51556.7</v>
      </c>
      <c r="AM34" s="28" t="n">
        <v>51521.2</v>
      </c>
      <c r="AN34" s="27" t="inlineStr">
        <is>
          <t>31s</t>
        </is>
      </c>
      <c r="AO34" s="27" t="inlineStr">
        <is>
          <t>2m 04s</t>
        </is>
      </c>
      <c r="AP34" s="34" t="n">
        <v>61.7</v>
      </c>
      <c r="AQ34" s="28" t="n">
        <v>-3.73</v>
      </c>
      <c r="AR34" s="31" t="n">
        <v>1.75</v>
      </c>
      <c r="AS34" s="28" t="n">
        <v>0.1045</v>
      </c>
      <c r="AT34" s="28" t="n">
        <v>0.507</v>
      </c>
      <c r="AU34" s="28" t="n">
        <v>-0.3885</v>
      </c>
      <c r="AV34" s="27" t="inlineStr">
        <is>
          <t>Yes</t>
        </is>
      </c>
      <c r="AW34" s="27" t="inlineStr">
        <is>
          <t>No</t>
        </is>
      </c>
      <c r="AX34" s="35" t="n">
        <v>0.507</v>
      </c>
      <c r="AY34" s="31" t="n">
        <v>1013.48</v>
      </c>
      <c r="AZ34" s="31" t="n">
        <v>17.48</v>
      </c>
      <c r="BA34" s="34" t="n">
        <v>1.696</v>
      </c>
      <c r="BB34" s="36" t="n">
        <v>-4</v>
      </c>
      <c r="BC34" s="27" t="inlineStr">
        <is>
          <t>ticks</t>
        </is>
      </c>
      <c r="BD34" s="24" t="n">
        <v>465</v>
      </c>
      <c r="BE34" s="24" t="n">
        <v>9</v>
      </c>
      <c r="BF34" s="27" t="inlineStr">
        <is>
          <t>3214929/DJIUSD/2026-07-29_56075382_DJIUSD_buy_loss</t>
        </is>
      </c>
      <c r="BG34" s="27" t="n"/>
    </row>
    <row r="35" ht="16" customHeight="1">
      <c r="A35" s="24" t="n">
        <v>34</v>
      </c>
      <c r="B35" s="26" t="n">
        <v>56075287</v>
      </c>
      <c r="C35" s="27" t="inlineStr">
        <is>
          <t>DJIUSD</t>
        </is>
      </c>
      <c r="D35" s="27" t="inlineStr">
        <is>
          <t>buy</t>
        </is>
      </c>
      <c r="E35" s="28" t="n">
        <v>0.01</v>
      </c>
      <c r="F35" s="29" t="n">
        <v>46232.84416409722</v>
      </c>
      <c r="G35" s="29" t="n">
        <v>46232.84779542824</v>
      </c>
      <c r="H35" s="27" t="inlineStr">
        <is>
          <t>Wednesday</t>
        </is>
      </c>
      <c r="I35" s="26" t="n">
        <v>20</v>
      </c>
      <c r="J35" s="27" t="inlineStr">
        <is>
          <t>NY Late</t>
        </is>
      </c>
      <c r="K35" s="27" t="inlineStr">
        <is>
          <t>2026-W31</t>
        </is>
      </c>
      <c r="L35" s="27" t="inlineStr">
        <is>
          <t>2026-07</t>
        </is>
      </c>
      <c r="M35" s="27" t="inlineStr">
        <is>
          <t>5m 14s</t>
        </is>
      </c>
      <c r="N35" s="30" t="n">
        <v>313.7469999790192</v>
      </c>
      <c r="O35" s="28" t="n">
        <v>5.229</v>
      </c>
      <c r="P35" s="27" t="inlineStr">
        <is>
          <t>C. 5-15 min</t>
        </is>
      </c>
      <c r="Q35" s="28" t="n">
        <v>51523.49000000001</v>
      </c>
      <c r="R35" s="28" t="n">
        <v>51539.19999999999</v>
      </c>
      <c r="S35" s="28" t="n">
        <v>51488.5</v>
      </c>
      <c r="T35" s="28" t="n">
        <v>51563.03</v>
      </c>
      <c r="U35" s="28" t="n">
        <v>51488.5</v>
      </c>
      <c r="V35" s="27" t="inlineStr">
        <is>
          <t>Unchanged</t>
        </is>
      </c>
      <c r="W35" s="30" t="n">
        <v>0</v>
      </c>
      <c r="X35" s="31" t="n">
        <v>3.5</v>
      </c>
      <c r="Y35" s="28" t="n">
        <v>1.129</v>
      </c>
      <c r="Z35" s="32" t="n">
        <v>0.449</v>
      </c>
      <c r="AA35" s="27" t="inlineStr">
        <is>
          <t>F. 0..0.5R</t>
        </is>
      </c>
      <c r="AB35" s="31" t="n">
        <v>1.57</v>
      </c>
      <c r="AC35" s="31" t="n">
        <v>0</v>
      </c>
      <c r="AD35" s="33" t="n">
        <v>1.57</v>
      </c>
      <c r="AE35" s="27" t="inlineStr">
        <is>
          <t>Win</t>
        </is>
      </c>
      <c r="AF35" s="27" t="inlineStr">
        <is>
          <t>Expert</t>
        </is>
      </c>
      <c r="AG35" s="30" t="n">
        <v>1571</v>
      </c>
      <c r="AH35" s="31" t="n">
        <v>3.32</v>
      </c>
      <c r="AI35" s="31" t="n">
        <v>-0.63</v>
      </c>
      <c r="AJ35" s="28" t="n">
        <v>0.949</v>
      </c>
      <c r="AK35" s="28" t="n">
        <v>-0.18</v>
      </c>
      <c r="AL35" s="28" t="n">
        <v>51556.7</v>
      </c>
      <c r="AM35" s="28" t="n">
        <v>51517.2</v>
      </c>
      <c r="AN35" s="27" t="inlineStr">
        <is>
          <t>1m 26s</t>
        </is>
      </c>
      <c r="AO35" s="27" t="inlineStr">
        <is>
          <t>0.0s</t>
        </is>
      </c>
      <c r="AP35" s="34" t="n">
        <v>18</v>
      </c>
      <c r="AQ35" s="28" t="n">
        <v>0.473</v>
      </c>
      <c r="AR35" s="31" t="n">
        <v>1.75</v>
      </c>
      <c r="AS35" s="28" t="n">
        <v>0.8408</v>
      </c>
      <c r="AT35" s="28" t="n">
        <v>0.5570000000000001</v>
      </c>
      <c r="AU35" s="28" t="n">
        <v>0.3977</v>
      </c>
      <c r="AV35" s="27" t="inlineStr">
        <is>
          <t>No</t>
        </is>
      </c>
      <c r="AW35" s="27" t="inlineStr">
        <is>
          <t>No</t>
        </is>
      </c>
      <c r="AX35" s="35" t="n">
        <v>0.345</v>
      </c>
      <c r="AY35" s="31" t="n">
        <v>1015.05</v>
      </c>
      <c r="AZ35" s="31" t="n">
        <v>15.91</v>
      </c>
      <c r="BA35" s="34" t="n">
        <v>1.543</v>
      </c>
      <c r="BB35" s="36" t="n">
        <v>1</v>
      </c>
      <c r="BC35" s="27" t="inlineStr">
        <is>
          <t>ticks</t>
        </is>
      </c>
      <c r="BD35" s="24" t="n">
        <v>572</v>
      </c>
      <c r="BE35" s="24" t="n">
        <v>9</v>
      </c>
      <c r="BF35" s="27" t="inlineStr">
        <is>
          <t>3214929/DJIUSD/2026-07-29_56075287_DJIUSD_buy_win</t>
        </is>
      </c>
      <c r="BG35" s="27" t="n"/>
    </row>
    <row r="36" ht="16" customHeight="1">
      <c r="A36" s="24" t="n">
        <v>35</v>
      </c>
      <c r="B36" s="26" t="n">
        <v>56076347</v>
      </c>
      <c r="C36" s="27" t="inlineStr">
        <is>
          <t>DAXEUR</t>
        </is>
      </c>
      <c r="D36" s="27" t="inlineStr">
        <is>
          <t>sell</t>
        </is>
      </c>
      <c r="E36" s="28" t="n">
        <v>0.01</v>
      </c>
      <c r="F36" s="29" t="n">
        <v>46232.85081105324</v>
      </c>
      <c r="G36" s="29" t="n">
        <v>46232.85775311343</v>
      </c>
      <c r="H36" s="27" t="inlineStr">
        <is>
          <t>Wednesday</t>
        </is>
      </c>
      <c r="I36" s="26" t="n">
        <v>20</v>
      </c>
      <c r="J36" s="27" t="inlineStr">
        <is>
          <t>NY Late</t>
        </is>
      </c>
      <c r="K36" s="27" t="inlineStr">
        <is>
          <t>2026-W31</t>
        </is>
      </c>
      <c r="L36" s="27" t="inlineStr">
        <is>
          <t>2026-07</t>
        </is>
      </c>
      <c r="M36" s="27" t="inlineStr">
        <is>
          <t>10m 00s</t>
        </is>
      </c>
      <c r="N36" s="30" t="n">
        <v>599.7939999103546</v>
      </c>
      <c r="O36" s="28" t="n">
        <v>9.997</v>
      </c>
      <c r="P36" s="27" t="inlineStr">
        <is>
          <t>C. 5-15 min</t>
        </is>
      </c>
      <c r="Q36" s="28" t="n">
        <v>25334.88</v>
      </c>
      <c r="R36" s="28" t="n">
        <v>25366.02</v>
      </c>
      <c r="S36" s="28" t="n">
        <v>25361.34</v>
      </c>
      <c r="T36" s="28" t="n">
        <v>25305.15</v>
      </c>
      <c r="U36" s="28" t="n">
        <v>25365.71</v>
      </c>
      <c r="V36" s="27" t="inlineStr">
        <is>
          <t>Widened</t>
        </is>
      </c>
      <c r="W36" s="30" t="n">
        <v>-437</v>
      </c>
      <c r="X36" s="31" t="n">
        <v>3.06</v>
      </c>
      <c r="Y36" s="28" t="n">
        <v>1.121</v>
      </c>
      <c r="Z36" s="32" t="n">
        <v>-1.163</v>
      </c>
      <c r="AA36" s="27" t="inlineStr">
        <is>
          <t>B. -1.5R..-1R</t>
        </is>
      </c>
      <c r="AB36" s="31" t="n">
        <v>-3.56</v>
      </c>
      <c r="AC36" s="31" t="n">
        <v>0</v>
      </c>
      <c r="AD36" s="33" t="n">
        <v>-3.56</v>
      </c>
      <c r="AE36" s="27" t="inlineStr">
        <is>
          <t>Loss</t>
        </is>
      </c>
      <c r="AF36" s="27" t="inlineStr">
        <is>
          <t>Stop Loss</t>
        </is>
      </c>
      <c r="AG36" s="30" t="n">
        <v>-3114</v>
      </c>
      <c r="AH36" s="31" t="n">
        <v>1.19</v>
      </c>
      <c r="AI36" s="31" t="n">
        <v>-3.61</v>
      </c>
      <c r="AJ36" s="28" t="n">
        <v>0.389</v>
      </c>
      <c r="AK36" s="28" t="n">
        <v>-1.18</v>
      </c>
      <c r="AL36" s="28" t="n">
        <v>25324.62</v>
      </c>
      <c r="AM36" s="28" t="n">
        <v>25366.22</v>
      </c>
      <c r="AN36" s="27" t="inlineStr">
        <is>
          <t>2m 47s</t>
        </is>
      </c>
      <c r="AO36" s="27" t="inlineStr">
        <is>
          <t>10m 00s</t>
        </is>
      </c>
      <c r="AP36" s="34" t="n">
        <v>118</v>
      </c>
      <c r="AQ36" s="28" t="n">
        <v>-2.992</v>
      </c>
      <c r="AR36" s="31" t="n">
        <v>4.75</v>
      </c>
      <c r="AS36" s="28" t="n">
        <v>0.2466</v>
      </c>
      <c r="AT36" s="28" t="n">
        <v>0.0048</v>
      </c>
      <c r="AU36" s="28" t="n">
        <v>-0.7486</v>
      </c>
      <c r="AV36" s="27" t="inlineStr">
        <is>
          <t>Yes</t>
        </is>
      </c>
      <c r="AW36" s="27" t="inlineStr">
        <is>
          <t>No</t>
        </is>
      </c>
      <c r="AX36" s="35" t="n">
        <v>0.301</v>
      </c>
      <c r="AY36" s="31" t="n">
        <v>1011.49</v>
      </c>
      <c r="AZ36" s="31" t="n">
        <v>19.47</v>
      </c>
      <c r="BA36" s="34" t="n">
        <v>1.889</v>
      </c>
      <c r="BB36" s="36" t="n">
        <v>-1</v>
      </c>
      <c r="BC36" s="27" t="inlineStr">
        <is>
          <t>ticks</t>
        </is>
      </c>
      <c r="BD36" s="24" t="n">
        <v>895</v>
      </c>
      <c r="BE36" s="24" t="n">
        <v>9</v>
      </c>
      <c r="BF36" s="27" t="inlineStr">
        <is>
          <t>3214929/DAXEUR/2026-07-29_56076347_DAXEUR_sell_loss</t>
        </is>
      </c>
      <c r="BG36" s="27" t="n"/>
    </row>
    <row r="37" ht="16" customHeight="1">
      <c r="A37" s="24" t="n">
        <v>36</v>
      </c>
      <c r="B37" s="26" t="n">
        <v>56076852</v>
      </c>
      <c r="C37" s="27" t="inlineStr">
        <is>
          <t>NDXUSD</t>
        </is>
      </c>
      <c r="D37" s="27" t="inlineStr">
        <is>
          <t>sell</t>
        </is>
      </c>
      <c r="E37" s="28" t="n">
        <v>0.01</v>
      </c>
      <c r="F37" s="29" t="n">
        <v>46232.85568199074</v>
      </c>
      <c r="G37" s="29" t="n">
        <v>46232.8608280787</v>
      </c>
      <c r="H37" s="27" t="inlineStr">
        <is>
          <t>Wednesday</t>
        </is>
      </c>
      <c r="I37" s="26" t="n">
        <v>20</v>
      </c>
      <c r="J37" s="27" t="inlineStr">
        <is>
          <t>NY Late</t>
        </is>
      </c>
      <c r="K37" s="27" t="inlineStr">
        <is>
          <t>2026-W31</t>
        </is>
      </c>
      <c r="L37" s="27" t="inlineStr">
        <is>
          <t>2026-07</t>
        </is>
      </c>
      <c r="M37" s="27" t="inlineStr">
        <is>
          <t>7m 25s</t>
        </is>
      </c>
      <c r="N37" s="30" t="n">
        <v>444.6219999790192</v>
      </c>
      <c r="O37" s="28" t="n">
        <v>7.41</v>
      </c>
      <c r="P37" s="27" t="inlineStr">
        <is>
          <t>C. 5-15 min</t>
        </is>
      </c>
      <c r="Q37" s="28" t="n">
        <v>27107.34999999999</v>
      </c>
      <c r="R37" s="28" t="n">
        <v>27179.75</v>
      </c>
      <c r="S37" s="28" t="n">
        <v>27162.21</v>
      </c>
      <c r="T37" s="28" t="n">
        <v>27046.14</v>
      </c>
      <c r="U37" s="28" t="n">
        <v>27179.66</v>
      </c>
      <c r="V37" s="27" t="inlineStr">
        <is>
          <t>Widened</t>
        </is>
      </c>
      <c r="W37" s="30" t="n">
        <v>-1745</v>
      </c>
      <c r="X37" s="31" t="n">
        <v>5.49</v>
      </c>
      <c r="Y37" s="28" t="n">
        <v>1.115</v>
      </c>
      <c r="Z37" s="32" t="n">
        <v>-1.319</v>
      </c>
      <c r="AA37" s="27" t="inlineStr">
        <is>
          <t>B. -1.5R..-1R</t>
        </is>
      </c>
      <c r="AB37" s="31" t="n">
        <v>-7.24</v>
      </c>
      <c r="AC37" s="31" t="n">
        <v>0</v>
      </c>
      <c r="AD37" s="33" t="n">
        <v>-7.24</v>
      </c>
      <c r="AE37" s="27" t="inlineStr">
        <is>
          <t>Loss</t>
        </is>
      </c>
      <c r="AF37" s="27" t="inlineStr">
        <is>
          <t>Stop Loss</t>
        </is>
      </c>
      <c r="AG37" s="30" t="n">
        <v>-7240</v>
      </c>
      <c r="AH37" s="31" t="n">
        <v>0.54</v>
      </c>
      <c r="AI37" s="31" t="n">
        <v>-7.28</v>
      </c>
      <c r="AJ37" s="28" t="n">
        <v>0.098</v>
      </c>
      <c r="AK37" s="28" t="n">
        <v>-1.326</v>
      </c>
      <c r="AL37" s="28" t="n">
        <v>27102</v>
      </c>
      <c r="AM37" s="28" t="n">
        <v>27180.1</v>
      </c>
      <c r="AN37" s="27" t="inlineStr">
        <is>
          <t>34s</t>
        </is>
      </c>
      <c r="AO37" s="27" t="inlineStr">
        <is>
          <t>7m 25s</t>
        </is>
      </c>
      <c r="AP37" s="34" t="n">
        <v>132.6</v>
      </c>
      <c r="AQ37" s="28" t="n">
        <v>-13.407</v>
      </c>
      <c r="AR37" s="31" t="n">
        <v>7.78</v>
      </c>
      <c r="AS37" s="28" t="n">
        <v>0.06850000000000001</v>
      </c>
      <c r="AT37" s="28" t="n">
        <v>0.0045</v>
      </c>
      <c r="AU37" s="28" t="n">
        <v>-0.927</v>
      </c>
      <c r="AV37" s="27" t="inlineStr">
        <is>
          <t>Yes</t>
        </is>
      </c>
      <c r="AW37" s="27" t="inlineStr">
        <is>
          <t>No</t>
        </is>
      </c>
      <c r="AX37" s="35" t="n">
        <v>0.543</v>
      </c>
      <c r="AY37" s="31" t="n">
        <v>1004.25</v>
      </c>
      <c r="AZ37" s="31" t="n">
        <v>26.71</v>
      </c>
      <c r="BA37" s="34" t="n">
        <v>2.591</v>
      </c>
      <c r="BB37" s="36" t="n">
        <v>-2</v>
      </c>
      <c r="BC37" s="27" t="inlineStr">
        <is>
          <t>ticks</t>
        </is>
      </c>
      <c r="BD37" s="24" t="n">
        <v>895</v>
      </c>
      <c r="BE37" s="24" t="n">
        <v>9</v>
      </c>
      <c r="BF37" s="27" t="inlineStr">
        <is>
          <t>3214929/NDXUSD/2026-07-29_56076852_NDXUSD_sell_loss</t>
        </is>
      </c>
      <c r="BG37" s="27" t="n"/>
    </row>
    <row r="38" ht="16" customHeight="1">
      <c r="A38" s="24" t="n">
        <v>37</v>
      </c>
      <c r="B38" s="26" t="n">
        <v>56077928</v>
      </c>
      <c r="C38" s="27" t="inlineStr">
        <is>
          <t>NDXUSD</t>
        </is>
      </c>
      <c r="D38" s="27" t="inlineStr">
        <is>
          <t>sell</t>
        </is>
      </c>
      <c r="E38" s="28" t="n">
        <v>0.01</v>
      </c>
      <c r="F38" s="29" t="n">
        <v>46232.85985875</v>
      </c>
      <c r="G38" s="29" t="n">
        <v>46232.87016619213</v>
      </c>
      <c r="H38" s="27" t="inlineStr">
        <is>
          <t>Wednesday</t>
        </is>
      </c>
      <c r="I38" s="26" t="n">
        <v>20</v>
      </c>
      <c r="J38" s="27" t="inlineStr">
        <is>
          <t>NY Late</t>
        </is>
      </c>
      <c r="K38" s="27" t="inlineStr">
        <is>
          <t>2026-W31</t>
        </is>
      </c>
      <c r="L38" s="27" t="inlineStr">
        <is>
          <t>2026-07</t>
        </is>
      </c>
      <c r="M38" s="27" t="inlineStr">
        <is>
          <t>14m 51s</t>
        </is>
      </c>
      <c r="N38" s="30" t="n">
        <v>890.5629999637604</v>
      </c>
      <c r="O38" s="28" t="n">
        <v>14.843</v>
      </c>
      <c r="P38" s="27" t="inlineStr">
        <is>
          <t>C. 5-15 min</t>
        </is>
      </c>
      <c r="Q38" s="28" t="n">
        <v>27149.1</v>
      </c>
      <c r="R38" s="28" t="n">
        <v>27149.1</v>
      </c>
      <c r="S38" s="28" t="n">
        <v>27202.19</v>
      </c>
      <c r="T38" s="28" t="n">
        <v>27093.85</v>
      </c>
      <c r="U38" s="28" t="n">
        <v>27149.1</v>
      </c>
      <c r="V38" s="27" t="inlineStr">
        <is>
          <t>Breakeven</t>
        </is>
      </c>
      <c r="W38" s="30" t="n">
        <v>5309</v>
      </c>
      <c r="X38" s="31" t="n">
        <v>5.31</v>
      </c>
      <c r="Y38" s="28" t="n">
        <v>1.041</v>
      </c>
      <c r="Z38" s="32" t="n">
        <v>0</v>
      </c>
      <c r="AA38" s="27" t="inlineStr">
        <is>
          <t>E. Breakeven</t>
        </is>
      </c>
      <c r="AB38" s="31" t="n">
        <v>0</v>
      </c>
      <c r="AC38" s="31" t="n">
        <v>0</v>
      </c>
      <c r="AD38" s="33" t="n">
        <v>0</v>
      </c>
      <c r="AE38" s="27" t="inlineStr">
        <is>
          <t>Breakeven</t>
        </is>
      </c>
      <c r="AF38" s="27" t="inlineStr">
        <is>
          <t>Stop Loss</t>
        </is>
      </c>
      <c r="AG38" s="30" t="n">
        <v>-0</v>
      </c>
      <c r="AH38" s="31" t="n">
        <v>2.98</v>
      </c>
      <c r="AI38" s="31" t="n">
        <v>-3.34</v>
      </c>
      <c r="AJ38" s="28" t="n">
        <v>0.5610000000000001</v>
      </c>
      <c r="AK38" s="28" t="n">
        <v>-0.629</v>
      </c>
      <c r="AL38" s="28" t="n">
        <v>27119.35</v>
      </c>
      <c r="AM38" s="28" t="n">
        <v>27182.5</v>
      </c>
      <c r="AN38" s="27" t="inlineStr">
        <is>
          <t>13m 13s</t>
        </is>
      </c>
      <c r="AO38" s="27" t="inlineStr">
        <is>
          <t>1m 27s</t>
        </is>
      </c>
      <c r="AP38" s="34" t="n">
        <v>62.9</v>
      </c>
      <c r="AQ38" s="28" t="n">
        <v>0</v>
      </c>
      <c r="AR38" s="31" t="n">
        <v>2.98</v>
      </c>
      <c r="AS38" s="28" t="n">
        <v>0.4711</v>
      </c>
      <c r="AT38" s="28" t="n">
        <v>0.5289</v>
      </c>
      <c r="AU38" s="28" t="n">
        <v>0</v>
      </c>
      <c r="AV38" s="27" t="inlineStr">
        <is>
          <t>No</t>
        </is>
      </c>
      <c r="AW38" s="27" t="inlineStr">
        <is>
          <t>No</t>
        </is>
      </c>
      <c r="AX38" s="35" t="n">
        <v>0.529</v>
      </c>
      <c r="AY38" s="31" t="n">
        <v>1004.25</v>
      </c>
      <c r="AZ38" s="31" t="n">
        <v>26.71</v>
      </c>
      <c r="BA38" s="34" t="n">
        <v>2.591</v>
      </c>
      <c r="BB38" s="36" t="n">
        <v>0</v>
      </c>
      <c r="BC38" s="27" t="inlineStr">
        <is>
          <t>ticks</t>
        </is>
      </c>
      <c r="BD38" s="24" t="n">
        <v>1946</v>
      </c>
      <c r="BE38" s="24" t="n">
        <v>9</v>
      </c>
      <c r="BF38" s="27" t="inlineStr">
        <is>
          <t>3214929/NDXUSD/2026-07-29_56077928_NDXUSD_sell_scratch</t>
        </is>
      </c>
      <c r="BG38" s="27" t="n"/>
    </row>
    <row r="39" ht="16" customHeight="1">
      <c r="A39" s="24" t="n">
        <v>38</v>
      </c>
      <c r="B39" s="26" t="n">
        <v>56078174</v>
      </c>
      <c r="C39" s="27" t="inlineStr">
        <is>
          <t>XAUUSD</t>
        </is>
      </c>
      <c r="D39" s="27" t="inlineStr">
        <is>
          <t>sell</t>
        </is>
      </c>
      <c r="E39" s="28" t="n">
        <v>0.01</v>
      </c>
      <c r="F39" s="29" t="n">
        <v>46232.86122445602</v>
      </c>
      <c r="G39" s="29" t="n">
        <v>46232.87143284722</v>
      </c>
      <c r="H39" s="27" t="inlineStr">
        <is>
          <t>Wednesday</t>
        </is>
      </c>
      <c r="I39" s="26" t="n">
        <v>20</v>
      </c>
      <c r="J39" s="27" t="inlineStr">
        <is>
          <t>NY Late</t>
        </is>
      </c>
      <c r="K39" s="27" t="inlineStr">
        <is>
          <t>2026-W31</t>
        </is>
      </c>
      <c r="L39" s="27" t="inlineStr">
        <is>
          <t>2026-07</t>
        </is>
      </c>
      <c r="M39" s="27" t="inlineStr">
        <is>
          <t>14m 42s</t>
        </is>
      </c>
      <c r="N39" s="30" t="n">
        <v>882.0050001144409</v>
      </c>
      <c r="O39" s="28" t="n">
        <v>14.7</v>
      </c>
      <c r="P39" s="27" t="inlineStr">
        <is>
          <t>C. 5-15 min</t>
        </is>
      </c>
      <c r="Q39" s="28" t="n">
        <v>4064.03</v>
      </c>
      <c r="R39" s="28" t="n">
        <v>4065.58</v>
      </c>
      <c r="S39" s="28" t="n">
        <v>4070.04</v>
      </c>
      <c r="T39" s="28" t="n">
        <v>4057.37</v>
      </c>
      <c r="U39" s="28" t="n">
        <v>4070.04</v>
      </c>
      <c r="V39" s="27" t="inlineStr">
        <is>
          <t>Unchanged</t>
        </is>
      </c>
      <c r="W39" s="30" t="n">
        <v>0</v>
      </c>
      <c r="X39" s="31" t="n">
        <v>6.01</v>
      </c>
      <c r="Y39" s="28" t="n">
        <v>1.108</v>
      </c>
      <c r="Z39" s="32" t="n">
        <v>-0.266</v>
      </c>
      <c r="AA39" s="27" t="inlineStr">
        <is>
          <t>D. -0.5R..0</t>
        </is>
      </c>
      <c r="AB39" s="31" t="n">
        <v>-1.55</v>
      </c>
      <c r="AC39" s="31" t="n">
        <v>-0.05</v>
      </c>
      <c r="AD39" s="33" t="n">
        <v>-1.6</v>
      </c>
      <c r="AE39" s="27" t="inlineStr">
        <is>
          <t>Loss</t>
        </is>
      </c>
      <c r="AF39" s="27" t="inlineStr">
        <is>
          <t>Expert</t>
        </is>
      </c>
      <c r="AG39" s="30" t="n">
        <v>-155</v>
      </c>
      <c r="AH39" s="31" t="n">
        <v>0.21</v>
      </c>
      <c r="AI39" s="31" t="n">
        <v>-6.36</v>
      </c>
      <c r="AJ39" s="28" t="n">
        <v>0.035</v>
      </c>
      <c r="AK39" s="28" t="n">
        <v>-1.058</v>
      </c>
      <c r="AL39" s="28" t="n">
        <v>4063.82</v>
      </c>
      <c r="AM39" s="28" t="n">
        <v>4070.39</v>
      </c>
      <c r="AN39" s="27" t="inlineStr">
        <is>
          <t>10m 20s</t>
        </is>
      </c>
      <c r="AO39" s="27" t="inlineStr">
        <is>
          <t>5m 55s</t>
        </is>
      </c>
      <c r="AP39" s="34" t="n">
        <v>105.8</v>
      </c>
      <c r="AQ39" s="28" t="n">
        <v>-7.619</v>
      </c>
      <c r="AR39" s="31" t="n">
        <v>1.81</v>
      </c>
      <c r="AS39" s="28" t="n">
        <v>0.032</v>
      </c>
      <c r="AT39" s="28" t="n">
        <v>0.7321</v>
      </c>
      <c r="AU39" s="28" t="n">
        <v>-0.2359</v>
      </c>
      <c r="AV39" s="27" t="inlineStr">
        <is>
          <t>No</t>
        </is>
      </c>
      <c r="AW39" s="27" t="inlineStr">
        <is>
          <t>No</t>
        </is>
      </c>
      <c r="AX39" s="35" t="n">
        <v>0.598</v>
      </c>
      <c r="AY39" s="31" t="n">
        <v>1002.65</v>
      </c>
      <c r="AZ39" s="31" t="n">
        <v>28.31</v>
      </c>
      <c r="BA39" s="34" t="n">
        <v>2.746</v>
      </c>
      <c r="BB39" s="36" t="n">
        <v>-1</v>
      </c>
      <c r="BC39" s="27" t="inlineStr">
        <is>
          <t>ticks</t>
        </is>
      </c>
      <c r="BD39" s="24" t="n">
        <v>1330</v>
      </c>
      <c r="BE39" s="24" t="n">
        <v>9</v>
      </c>
      <c r="BF39" s="27" t="inlineStr">
        <is>
          <t>3214929/XAUUSD/2026-07-29_56078174_XAUUSD_sell_loss</t>
        </is>
      </c>
      <c r="BG39" s="27" t="n"/>
    </row>
    <row r="40" ht="16" customHeight="1">
      <c r="A40" s="24" t="n">
        <v>39</v>
      </c>
      <c r="B40" s="26" t="n">
        <v>56086025</v>
      </c>
      <c r="C40" s="27" t="inlineStr">
        <is>
          <t>NIKJPY</t>
        </is>
      </c>
      <c r="D40" s="27" t="inlineStr">
        <is>
          <t>buy</t>
        </is>
      </c>
      <c r="E40" s="28" t="n">
        <v>0.02</v>
      </c>
      <c r="F40" s="29" t="n">
        <v>46232.99024743056</v>
      </c>
      <c r="G40" s="29" t="n">
        <v>46232.99315471065</v>
      </c>
      <c r="H40" s="27" t="inlineStr">
        <is>
          <t>Wednesday</t>
        </is>
      </c>
      <c r="I40" s="26" t="n">
        <v>23</v>
      </c>
      <c r="J40" s="27" t="inlineStr">
        <is>
          <t>NY Late</t>
        </is>
      </c>
      <c r="K40" s="27" t="inlineStr">
        <is>
          <t>2026-W31</t>
        </is>
      </c>
      <c r="L40" s="27" t="inlineStr">
        <is>
          <t>2026-07</t>
        </is>
      </c>
      <c r="M40" s="27" t="inlineStr">
        <is>
          <t>4m 11s</t>
        </is>
      </c>
      <c r="N40" s="30" t="n">
        <v>251.1889998912811</v>
      </c>
      <c r="O40" s="28" t="n">
        <v>4.186</v>
      </c>
      <c r="P40" s="27" t="inlineStr">
        <is>
          <t>B. 1-5 min</t>
        </is>
      </c>
      <c r="Q40" s="28" t="n">
        <v>61991.99999999999</v>
      </c>
      <c r="R40" s="28" t="n">
        <v>61647</v>
      </c>
      <c r="S40" s="28" t="n">
        <v>61692</v>
      </c>
      <c r="T40" s="28" t="n">
        <v>62326</v>
      </c>
      <c r="U40" s="28" t="n">
        <v>61647</v>
      </c>
      <c r="V40" s="27" t="inlineStr">
        <is>
          <t>Widened</t>
        </is>
      </c>
      <c r="W40" s="30" t="n">
        <v>-45</v>
      </c>
      <c r="X40" s="31" t="n">
        <v>3.77</v>
      </c>
      <c r="Y40" s="28" t="n">
        <v>1.111</v>
      </c>
      <c r="Z40" s="32" t="n">
        <v>-1.119</v>
      </c>
      <c r="AA40" s="27" t="inlineStr">
        <is>
          <t>B. -1.5R..-1R</t>
        </is>
      </c>
      <c r="AB40" s="31" t="n">
        <v>-4.22</v>
      </c>
      <c r="AC40" s="31" t="n">
        <v>0</v>
      </c>
      <c r="AD40" s="33" t="n">
        <v>-4.22</v>
      </c>
      <c r="AE40" s="27" t="inlineStr">
        <is>
          <t>Loss</t>
        </is>
      </c>
      <c r="AF40" s="27" t="inlineStr">
        <is>
          <t>Stop Loss</t>
        </is>
      </c>
      <c r="AG40" s="30" t="n">
        <v>-345</v>
      </c>
      <c r="AH40" s="31" t="n">
        <v>1.28</v>
      </c>
      <c r="AI40" s="31" t="n">
        <v>-4.37</v>
      </c>
      <c r="AJ40" s="28" t="n">
        <v>0.34</v>
      </c>
      <c r="AK40" s="28" t="n">
        <v>-1.159</v>
      </c>
      <c r="AL40" s="28" t="n">
        <v>62094</v>
      </c>
      <c r="AM40" s="28" t="n">
        <v>61644</v>
      </c>
      <c r="AN40" s="27" t="inlineStr">
        <is>
          <t>7.9s</t>
        </is>
      </c>
      <c r="AO40" s="27" t="inlineStr">
        <is>
          <t>4m 11s</t>
        </is>
      </c>
      <c r="AP40" s="34" t="n">
        <v>115.9</v>
      </c>
      <c r="AQ40" s="28" t="n">
        <v>-3.297</v>
      </c>
      <c r="AR40" s="31" t="n">
        <v>5.5</v>
      </c>
      <c r="AS40" s="28" t="n">
        <v>0.2267</v>
      </c>
      <c r="AT40" s="28" t="n">
        <v>0.0067</v>
      </c>
      <c r="AU40" s="28" t="n">
        <v>-0.7667</v>
      </c>
      <c r="AV40" s="27" t="inlineStr">
        <is>
          <t>Yes</t>
        </is>
      </c>
      <c r="AW40" s="27" t="inlineStr">
        <is>
          <t>No</t>
        </is>
      </c>
      <c r="AX40" s="35" t="n">
        <v>0.376</v>
      </c>
      <c r="AY40" s="31" t="n">
        <v>998.4299999999999</v>
      </c>
      <c r="AZ40" s="31" t="n">
        <v>32.53</v>
      </c>
      <c r="BA40" s="34" t="n">
        <v>3.155</v>
      </c>
      <c r="BB40" s="36" t="n">
        <v>-2</v>
      </c>
      <c r="BC40" s="27" t="inlineStr">
        <is>
          <t>ticks</t>
        </is>
      </c>
      <c r="BD40" s="24" t="n">
        <v>576</v>
      </c>
      <c r="BE40" s="24" t="n">
        <v>9</v>
      </c>
      <c r="BF40" s="27" t="inlineStr">
        <is>
          <t>3214929/NIKJPY/2026-07-29_56086025_NIKJPY_buy_loss</t>
        </is>
      </c>
      <c r="BG40" s="27" t="n"/>
    </row>
    <row r="41" ht="16" customHeight="1">
      <c r="A41" s="24" t="n">
        <v>40</v>
      </c>
      <c r="B41" s="26" t="n">
        <v>56314087</v>
      </c>
      <c r="C41" s="27" t="inlineStr">
        <is>
          <t>XAUUSD</t>
        </is>
      </c>
      <c r="D41" s="27" t="inlineStr">
        <is>
          <t>sell</t>
        </is>
      </c>
      <c r="E41" s="28" t="n">
        <v>0.01</v>
      </c>
      <c r="F41" s="29" t="n">
        <v>46233.57105725694</v>
      </c>
      <c r="G41" s="29" t="n">
        <v>46233.58269879629</v>
      </c>
      <c r="H41" s="27" t="inlineStr">
        <is>
          <t>Thursday</t>
        </is>
      </c>
      <c r="I41" s="26" t="n">
        <v>13</v>
      </c>
      <c r="J41" s="27" t="inlineStr">
        <is>
          <t>NY Overlap</t>
        </is>
      </c>
      <c r="K41" s="27" t="inlineStr">
        <is>
          <t>2026-W31</t>
        </is>
      </c>
      <c r="L41" s="27" t="inlineStr">
        <is>
          <t>2026-07</t>
        </is>
      </c>
      <c r="M41" s="27" t="inlineStr">
        <is>
          <t>16m 46s</t>
        </is>
      </c>
      <c r="N41" s="30" t="n">
        <v>1005.829000234604</v>
      </c>
      <c r="O41" s="28" t="n">
        <v>16.764</v>
      </c>
      <c r="P41" s="27" t="inlineStr">
        <is>
          <t>D. 15-30 min</t>
        </is>
      </c>
      <c r="Q41" s="28" t="n">
        <v>4094.12</v>
      </c>
      <c r="R41" s="28" t="n">
        <v>4110.5</v>
      </c>
      <c r="S41" s="28" t="n">
        <v>4099.14</v>
      </c>
      <c r="T41" s="27" t="n"/>
      <c r="U41" s="28" t="n">
        <v>4110.37</v>
      </c>
      <c r="V41" s="27" t="inlineStr">
        <is>
          <t>Widened</t>
        </is>
      </c>
      <c r="W41" s="30" t="n">
        <v>-1123</v>
      </c>
      <c r="X41" s="31" t="n">
        <v>5.02</v>
      </c>
      <c r="Y41" s="28" t="n"/>
      <c r="Z41" s="32" t="n">
        <v>-3.273</v>
      </c>
      <c r="AA41" s="27" t="inlineStr">
        <is>
          <t>A. &lt;= -1.5R</t>
        </is>
      </c>
      <c r="AB41" s="31" t="n">
        <v>-16.38</v>
      </c>
      <c r="AC41" s="31" t="n">
        <v>-0.05</v>
      </c>
      <c r="AD41" s="33" t="n">
        <v>-16.43</v>
      </c>
      <c r="AE41" s="27" t="inlineStr">
        <is>
          <t>Loss</t>
        </is>
      </c>
      <c r="AF41" s="27" t="inlineStr">
        <is>
          <t>Stop Loss</t>
        </is>
      </c>
      <c r="AG41" s="30" t="n">
        <v>-1638</v>
      </c>
      <c r="AH41" s="31" t="n">
        <v>8.199999999999999</v>
      </c>
      <c r="AI41" s="31" t="n">
        <v>-16.43</v>
      </c>
      <c r="AJ41" s="28" t="n">
        <v>1.633</v>
      </c>
      <c r="AK41" s="28" t="n">
        <v>-3.273</v>
      </c>
      <c r="AL41" s="28" t="n">
        <v>4085.92</v>
      </c>
      <c r="AM41" s="28" t="n">
        <v>4110.55</v>
      </c>
      <c r="AN41" s="27" t="inlineStr">
        <is>
          <t>3m 56s</t>
        </is>
      </c>
      <c r="AO41" s="27" t="inlineStr">
        <is>
          <t>16m 46s</t>
        </is>
      </c>
      <c r="AP41" s="34" t="n">
        <v>327.3</v>
      </c>
      <c r="AQ41" s="28" t="n">
        <v>-2.004</v>
      </c>
      <c r="AR41" s="31" t="n">
        <v>24.63</v>
      </c>
      <c r="AS41" s="28" t="n">
        <v>0.3329</v>
      </c>
      <c r="AT41" s="28" t="n">
        <v>0.002</v>
      </c>
      <c r="AU41" s="28" t="n">
        <v>-0.665</v>
      </c>
      <c r="AV41" s="27" t="inlineStr">
        <is>
          <t>Yes</t>
        </is>
      </c>
      <c r="AW41" s="27" t="inlineStr">
        <is>
          <t>No</t>
        </is>
      </c>
      <c r="AX41" s="35" t="n">
        <v>0.503</v>
      </c>
      <c r="AY41" s="31" t="n">
        <v>982</v>
      </c>
      <c r="AZ41" s="31" t="n">
        <v>48.96</v>
      </c>
      <c r="BA41" s="34" t="n">
        <v>4.749</v>
      </c>
      <c r="BB41" s="36" t="n">
        <v>-3</v>
      </c>
      <c r="BC41" s="27" t="inlineStr">
        <is>
          <t>ticks</t>
        </is>
      </c>
      <c r="BD41" s="24" t="n">
        <v>2737</v>
      </c>
      <c r="BE41" s="24" t="n">
        <v>9</v>
      </c>
      <c r="BF41" s="27" t="inlineStr">
        <is>
          <t>3214929/XAUUSD/2026-07-30_56314087_XAUUSD_sell_loss</t>
        </is>
      </c>
      <c r="BG41" s="27" t="n"/>
    </row>
    <row r="42" ht="16" customHeight="1">
      <c r="A42" s="24" t="n">
        <v>41</v>
      </c>
      <c r="B42" s="26" t="n">
        <v>56390633</v>
      </c>
      <c r="C42" s="27" t="inlineStr">
        <is>
          <t>XAUUSD</t>
        </is>
      </c>
      <c r="D42" s="27" t="inlineStr">
        <is>
          <t>buy</t>
        </is>
      </c>
      <c r="E42" s="28" t="n">
        <v>0.02</v>
      </c>
      <c r="F42" s="29" t="n">
        <v>46233.64028601852</v>
      </c>
      <c r="G42" s="29" t="n">
        <v>46233.65559328704</v>
      </c>
      <c r="H42" s="27" t="inlineStr">
        <is>
          <t>Thursday</t>
        </is>
      </c>
      <c r="I42" s="26" t="n">
        <v>15</v>
      </c>
      <c r="J42" s="27" t="inlineStr">
        <is>
          <t>NY Overlap</t>
        </is>
      </c>
      <c r="K42" s="27" t="inlineStr">
        <is>
          <t>2026-W31</t>
        </is>
      </c>
      <c r="L42" s="27" t="inlineStr">
        <is>
          <t>2026-07</t>
        </is>
      </c>
      <c r="M42" s="27" t="inlineStr">
        <is>
          <t>22m 03s</t>
        </is>
      </c>
      <c r="N42" s="30" t="n">
        <v>1322.548000097275</v>
      </c>
      <c r="O42" s="28" t="n">
        <v>22.042</v>
      </c>
      <c r="P42" s="27" t="inlineStr">
        <is>
          <t>D. 15-30 min</t>
        </is>
      </c>
      <c r="Q42" s="28" t="n">
        <v>4096</v>
      </c>
      <c r="R42" s="28" t="n">
        <v>4105.47</v>
      </c>
      <c r="S42" s="28" t="n">
        <v>4092.31</v>
      </c>
      <c r="T42" s="28" t="n">
        <v>4102.71</v>
      </c>
      <c r="U42" s="28" t="n">
        <v>4092.31</v>
      </c>
      <c r="V42" s="27" t="inlineStr">
        <is>
          <t>Unchanged</t>
        </is>
      </c>
      <c r="W42" s="30" t="n">
        <v>0</v>
      </c>
      <c r="X42" s="31" t="n">
        <v>7.38</v>
      </c>
      <c r="Y42" s="28" t="n">
        <v>1.818</v>
      </c>
      <c r="Z42" s="32" t="n">
        <v>2.554</v>
      </c>
      <c r="AA42" s="27" t="inlineStr">
        <is>
          <t>I. 2R..3R</t>
        </is>
      </c>
      <c r="AB42" s="31" t="n">
        <v>18.94</v>
      </c>
      <c r="AC42" s="31" t="n">
        <v>-0.09</v>
      </c>
      <c r="AD42" s="33" t="n">
        <v>18.85</v>
      </c>
      <c r="AE42" s="27" t="inlineStr">
        <is>
          <t>Win</t>
        </is>
      </c>
      <c r="AF42" s="27" t="inlineStr">
        <is>
          <t>Take Profit</t>
        </is>
      </c>
      <c r="AG42" s="30" t="n">
        <v>947</v>
      </c>
      <c r="AH42" s="31" t="n">
        <v>19.32</v>
      </c>
      <c r="AI42" s="31" t="n">
        <v>-8.140000000000001</v>
      </c>
      <c r="AJ42" s="28" t="n">
        <v>2.618</v>
      </c>
      <c r="AK42" s="28" t="n">
        <v>-1.103</v>
      </c>
      <c r="AL42" s="28" t="n">
        <v>4105.66</v>
      </c>
      <c r="AM42" s="28" t="n">
        <v>4091.93</v>
      </c>
      <c r="AN42" s="27" t="inlineStr">
        <is>
          <t>22m 03s</t>
        </is>
      </c>
      <c r="AO42" s="27" t="inlineStr">
        <is>
          <t>4m 09s</t>
        </is>
      </c>
      <c r="AP42" s="34" t="n">
        <v>110.3</v>
      </c>
      <c r="AQ42" s="28" t="n">
        <v>0.976</v>
      </c>
      <c r="AR42" s="31" t="n">
        <v>0.47</v>
      </c>
      <c r="AS42" s="28" t="n">
        <v>0.7036</v>
      </c>
      <c r="AT42" s="28" t="n">
        <v>0.9862</v>
      </c>
      <c r="AU42" s="28" t="n">
        <v>0.6897</v>
      </c>
      <c r="AV42" s="27" t="inlineStr">
        <is>
          <t>No</t>
        </is>
      </c>
      <c r="AW42" s="27" t="inlineStr">
        <is>
          <t>No</t>
        </is>
      </c>
      <c r="AX42" s="35" t="n">
        <v>0.752</v>
      </c>
      <c r="AY42" s="31" t="n">
        <v>1000.85</v>
      </c>
      <c r="AZ42" s="31" t="n">
        <v>30.11</v>
      </c>
      <c r="BA42" s="34" t="n">
        <v>2.921</v>
      </c>
      <c r="BB42" s="36" t="n">
        <v>1</v>
      </c>
      <c r="BC42" s="27" t="inlineStr">
        <is>
          <t>ticks</t>
        </is>
      </c>
      <c r="BD42" s="24" t="n">
        <v>3132</v>
      </c>
      <c r="BE42" s="24" t="n">
        <v>9</v>
      </c>
      <c r="BF42" s="27" t="inlineStr">
        <is>
          <t>3214929/XAUUSD/2026-07-30_56390633_XAUUSD_buy_win</t>
        </is>
      </c>
      <c r="BG42" s="27" t="n"/>
    </row>
    <row r="43" ht="16" customHeight="1">
      <c r="A43" s="24" t="n">
        <v>42</v>
      </c>
      <c r="B43" s="26" t="n">
        <v>56429370</v>
      </c>
      <c r="C43" s="27" t="inlineStr">
        <is>
          <t>DAXEUR</t>
        </is>
      </c>
      <c r="D43" s="27" t="inlineStr">
        <is>
          <t>sell</t>
        </is>
      </c>
      <c r="E43" s="28" t="n">
        <v>0.04</v>
      </c>
      <c r="F43" s="29" t="n">
        <v>46233.73180207176</v>
      </c>
      <c r="G43" s="29" t="n">
        <v>46233.73841631944</v>
      </c>
      <c r="H43" s="27" t="inlineStr">
        <is>
          <t>Thursday</t>
        </is>
      </c>
      <c r="I43" s="26" t="n">
        <v>17</v>
      </c>
      <c r="J43" s="27" t="inlineStr">
        <is>
          <t>NY Late</t>
        </is>
      </c>
      <c r="K43" s="27" t="inlineStr">
        <is>
          <t>2026-W31</t>
        </is>
      </c>
      <c r="L43" s="27" t="inlineStr">
        <is>
          <t>2026-07</t>
        </is>
      </c>
      <c r="M43" s="27" t="inlineStr">
        <is>
          <t>9m 31s</t>
        </is>
      </c>
      <c r="N43" s="30" t="n">
        <v>571.4710001945496</v>
      </c>
      <c r="O43" s="28" t="n">
        <v>9.525</v>
      </c>
      <c r="P43" s="27" t="inlineStr">
        <is>
          <t>C. 5-15 min</t>
        </is>
      </c>
      <c r="Q43" s="28" t="n">
        <v>25660.78</v>
      </c>
      <c r="R43" s="28" t="n">
        <v>25680.03</v>
      </c>
      <c r="S43" s="28" t="n">
        <v>25670.37</v>
      </c>
      <c r="T43" s="28" t="n">
        <v>25650.23</v>
      </c>
      <c r="U43" s="28" t="n">
        <v>25680.02</v>
      </c>
      <c r="V43" s="27" t="inlineStr">
        <is>
          <t>Widened</t>
        </is>
      </c>
      <c r="W43" s="30" t="n">
        <v>-965</v>
      </c>
      <c r="X43" s="31" t="n">
        <v>4.43</v>
      </c>
      <c r="Y43" s="28" t="n">
        <v>1.099</v>
      </c>
      <c r="Z43" s="32" t="n">
        <v>-2.002</v>
      </c>
      <c r="AA43" s="27" t="inlineStr">
        <is>
          <t>A. &lt;= -1.5R</t>
        </is>
      </c>
      <c r="AB43" s="31" t="n">
        <v>-8.869999999999999</v>
      </c>
      <c r="AC43" s="31" t="n">
        <v>0</v>
      </c>
      <c r="AD43" s="33" t="n">
        <v>-8.869999999999999</v>
      </c>
      <c r="AE43" s="27" t="inlineStr">
        <is>
          <t>Loss</t>
        </is>
      </c>
      <c r="AF43" s="27" t="inlineStr">
        <is>
          <t>Stop Loss</t>
        </is>
      </c>
      <c r="AG43" s="30" t="n">
        <v>-1925</v>
      </c>
      <c r="AH43" s="31" t="n">
        <v>1.96</v>
      </c>
      <c r="AI43" s="31" t="n">
        <v>-8.880000000000001</v>
      </c>
      <c r="AJ43" s="28" t="n">
        <v>0.442</v>
      </c>
      <c r="AK43" s="28" t="n">
        <v>-2.005</v>
      </c>
      <c r="AL43" s="28" t="n">
        <v>25656.53</v>
      </c>
      <c r="AM43" s="28" t="n">
        <v>25680.03</v>
      </c>
      <c r="AN43" s="27" t="inlineStr">
        <is>
          <t>4m 22s</t>
        </is>
      </c>
      <c r="AO43" s="27" t="inlineStr">
        <is>
          <t>9m 31s</t>
        </is>
      </c>
      <c r="AP43" s="34" t="n">
        <v>200.5</v>
      </c>
      <c r="AQ43" s="28" t="n">
        <v>-4.526</v>
      </c>
      <c r="AR43" s="31" t="n">
        <v>10.83</v>
      </c>
      <c r="AS43" s="28" t="n">
        <v>0.1809</v>
      </c>
      <c r="AT43" s="28" t="n">
        <v>0</v>
      </c>
      <c r="AU43" s="28" t="n">
        <v>-0.8191000000000001</v>
      </c>
      <c r="AV43" s="27" t="inlineStr">
        <is>
          <t>Yes</t>
        </is>
      </c>
      <c r="AW43" s="27" t="inlineStr">
        <is>
          <t>No</t>
        </is>
      </c>
      <c r="AX43" s="35" t="n">
        <v>0.443</v>
      </c>
      <c r="AY43" s="31" t="n">
        <v>991.98</v>
      </c>
      <c r="AZ43" s="31" t="n">
        <v>38.98</v>
      </c>
      <c r="BA43" s="34" t="n">
        <v>3.781</v>
      </c>
      <c r="BB43" s="36" t="n">
        <v>-1</v>
      </c>
      <c r="BC43" s="27" t="inlineStr">
        <is>
          <t>ticks</t>
        </is>
      </c>
      <c r="BD43" s="24" t="n">
        <v>632</v>
      </c>
      <c r="BE43" s="24" t="n">
        <v>9</v>
      </c>
      <c r="BF43" s="27" t="inlineStr">
        <is>
          <t>3214929/DAXEUR/2026-07-30_56429370_DAXEUR_sell_loss</t>
        </is>
      </c>
      <c r="BG43" s="27" t="n"/>
    </row>
    <row r="44" ht="16" customHeight="1">
      <c r="A44" s="24" t="n">
        <v>43</v>
      </c>
      <c r="B44" s="26" t="n">
        <v>56441184</v>
      </c>
      <c r="C44" s="27" t="inlineStr">
        <is>
          <t>DAXEUR</t>
        </is>
      </c>
      <c r="D44" s="27" t="inlineStr">
        <is>
          <t>sell</t>
        </is>
      </c>
      <c r="E44" s="28" t="n">
        <v>0.04</v>
      </c>
      <c r="F44" s="29" t="n">
        <v>46233.78595732639</v>
      </c>
      <c r="G44" s="29" t="n">
        <v>46233.79113621528</v>
      </c>
      <c r="H44" s="27" t="inlineStr">
        <is>
          <t>Thursday</t>
        </is>
      </c>
      <c r="I44" s="26" t="n">
        <v>18</v>
      </c>
      <c r="J44" s="27" t="inlineStr">
        <is>
          <t>NY Late</t>
        </is>
      </c>
      <c r="K44" s="27" t="inlineStr">
        <is>
          <t>2026-W31</t>
        </is>
      </c>
      <c r="L44" s="27" t="inlineStr">
        <is>
          <t>2026-07</t>
        </is>
      </c>
      <c r="M44" s="27" t="inlineStr">
        <is>
          <t>7m 27s</t>
        </is>
      </c>
      <c r="N44" s="30" t="n">
        <v>447.4559998512268</v>
      </c>
      <c r="O44" s="28" t="n">
        <v>7.458</v>
      </c>
      <c r="P44" s="27" t="inlineStr">
        <is>
          <t>C. 5-15 min</t>
        </is>
      </c>
      <c r="Q44" s="28" t="n">
        <v>25678.28</v>
      </c>
      <c r="R44" s="28" t="n">
        <v>25689.03</v>
      </c>
      <c r="S44" s="28" t="n">
        <v>25688.39</v>
      </c>
      <c r="T44" s="28" t="n">
        <v>25667.16</v>
      </c>
      <c r="U44" s="28" t="n">
        <v>25689.03</v>
      </c>
      <c r="V44" s="27" t="inlineStr">
        <is>
          <t>Widened</t>
        </is>
      </c>
      <c r="W44" s="30" t="n">
        <v>-64</v>
      </c>
      <c r="X44" s="31" t="n">
        <v>4.66</v>
      </c>
      <c r="Y44" s="28" t="n">
        <v>1.101</v>
      </c>
      <c r="Z44" s="32" t="n">
        <v>-1.064</v>
      </c>
      <c r="AA44" s="27" t="inlineStr">
        <is>
          <t>B. -1.5R..-1R</t>
        </is>
      </c>
      <c r="AB44" s="31" t="n">
        <v>-4.96</v>
      </c>
      <c r="AC44" s="31" t="n">
        <v>0</v>
      </c>
      <c r="AD44" s="33" t="n">
        <v>-4.96</v>
      </c>
      <c r="AE44" s="27" t="inlineStr">
        <is>
          <t>Loss</t>
        </is>
      </c>
      <c r="AF44" s="27" t="inlineStr">
        <is>
          <t>Stop Loss</t>
        </is>
      </c>
      <c r="AG44" s="30" t="n">
        <v>-1075</v>
      </c>
      <c r="AH44" s="31" t="n">
        <v>0</v>
      </c>
      <c r="AI44" s="31" t="n">
        <v>-4.96</v>
      </c>
      <c r="AJ44" s="28" t="n">
        <v>0</v>
      </c>
      <c r="AK44" s="28" t="n">
        <v>-1.064</v>
      </c>
      <c r="AL44" s="28" t="n">
        <v>25678.53</v>
      </c>
      <c r="AM44" s="28" t="n">
        <v>25689.03</v>
      </c>
      <c r="AN44" s="27" t="inlineStr">
        <is>
          <t>10s</t>
        </is>
      </c>
      <c r="AO44" s="27" t="inlineStr">
        <is>
          <t>7m 27s</t>
        </is>
      </c>
      <c r="AP44" s="34" t="n">
        <v>106.4</v>
      </c>
      <c r="AQ44" s="28" t="n"/>
      <c r="AR44" s="31" t="n"/>
      <c r="AS44" s="28" t="n">
        <v>-0.0238</v>
      </c>
      <c r="AT44" s="28" t="n">
        <v>0</v>
      </c>
      <c r="AU44" s="28" t="n">
        <v>-1.0238</v>
      </c>
      <c r="AV44" s="27" t="inlineStr">
        <is>
          <t>Yes</t>
        </is>
      </c>
      <c r="AW44" s="27" t="inlineStr">
        <is>
          <t>No</t>
        </is>
      </c>
      <c r="AX44" s="35" t="n">
        <v>0.47</v>
      </c>
      <c r="AY44" s="31" t="n">
        <v>987.02</v>
      </c>
      <c r="AZ44" s="31" t="n">
        <v>43.94</v>
      </c>
      <c r="BA44" s="34" t="n">
        <v>4.262</v>
      </c>
      <c r="BB44" s="36" t="n">
        <v>-2</v>
      </c>
      <c r="BC44" s="27" t="inlineStr">
        <is>
          <t>ticks</t>
        </is>
      </c>
      <c r="BD44" s="24" t="n">
        <v>189</v>
      </c>
      <c r="BE44" s="24" t="n">
        <v>9</v>
      </c>
      <c r="BF44" s="27" t="inlineStr">
        <is>
          <t>3214929/DAXEUR/2026-07-30_56441184_DAXEUR_sell_loss</t>
        </is>
      </c>
      <c r="BG44" s="27" t="n"/>
    </row>
    <row r="45" ht="16" customHeight="1">
      <c r="A45" s="24" t="n">
        <v>44</v>
      </c>
      <c r="B45" s="26" t="n">
        <v>56431283</v>
      </c>
      <c r="C45" s="27" t="inlineStr">
        <is>
          <t>DAXEUR</t>
        </is>
      </c>
      <c r="D45" s="27" t="inlineStr">
        <is>
          <t>sell</t>
        </is>
      </c>
      <c r="E45" s="28" t="n">
        <v>0.04</v>
      </c>
      <c r="F45" s="29" t="n">
        <v>46233.73715608796</v>
      </c>
      <c r="G45" s="29" t="n">
        <v>46233.79113621528</v>
      </c>
      <c r="H45" s="27" t="inlineStr">
        <is>
          <t>Thursday</t>
        </is>
      </c>
      <c r="I45" s="26" t="n">
        <v>17</v>
      </c>
      <c r="J45" s="27" t="inlineStr">
        <is>
          <t>NY Late</t>
        </is>
      </c>
      <c r="K45" s="27" t="inlineStr">
        <is>
          <t>2026-W31</t>
        </is>
      </c>
      <c r="L45" s="27" t="inlineStr">
        <is>
          <t>2026-07</t>
        </is>
      </c>
      <c r="M45" s="27" t="inlineStr">
        <is>
          <t>1h 17m</t>
        </is>
      </c>
      <c r="N45" s="30" t="n">
        <v>4663.882999897003</v>
      </c>
      <c r="O45" s="28" t="n">
        <v>77.73099999999999</v>
      </c>
      <c r="P45" s="27" t="inlineStr">
        <is>
          <t>F. 1-4 h</t>
        </is>
      </c>
      <c r="Q45" s="28" t="n">
        <v>25669.78</v>
      </c>
      <c r="R45" s="28" t="n">
        <v>25689.03</v>
      </c>
      <c r="S45" s="28" t="n">
        <v>25681.11</v>
      </c>
      <c r="T45" s="28" t="n">
        <v>25659.42</v>
      </c>
      <c r="U45" s="28" t="n">
        <v>25688.92</v>
      </c>
      <c r="V45" s="27" t="inlineStr">
        <is>
          <t>Widened</t>
        </is>
      </c>
      <c r="W45" s="30" t="n">
        <v>-781</v>
      </c>
      <c r="X45" s="31" t="n">
        <v>5.23</v>
      </c>
      <c r="Y45" s="28" t="n">
        <v>0.914</v>
      </c>
      <c r="Z45" s="32" t="n">
        <v>-1.698</v>
      </c>
      <c r="AA45" s="27" t="inlineStr">
        <is>
          <t>A. &lt;= -1.5R</t>
        </is>
      </c>
      <c r="AB45" s="31" t="n">
        <v>-8.880000000000001</v>
      </c>
      <c r="AC45" s="31" t="n">
        <v>0</v>
      </c>
      <c r="AD45" s="33" t="n">
        <v>-8.880000000000001</v>
      </c>
      <c r="AE45" s="27" t="inlineStr">
        <is>
          <t>Loss</t>
        </is>
      </c>
      <c r="AF45" s="27" t="inlineStr">
        <is>
          <t>Stop Loss</t>
        </is>
      </c>
      <c r="AG45" s="30" t="n">
        <v>-1925</v>
      </c>
      <c r="AH45" s="31" t="n">
        <v>4.04</v>
      </c>
      <c r="AI45" s="31" t="n">
        <v>-8.880000000000001</v>
      </c>
      <c r="AJ45" s="28" t="n">
        <v>0.772</v>
      </c>
      <c r="AK45" s="28" t="n">
        <v>-1.698</v>
      </c>
      <c r="AL45" s="28" t="n">
        <v>25661.03</v>
      </c>
      <c r="AM45" s="28" t="n">
        <v>25689.03</v>
      </c>
      <c r="AN45" s="27" t="inlineStr">
        <is>
          <t>23m 31s</t>
        </is>
      </c>
      <c r="AO45" s="27" t="inlineStr">
        <is>
          <t>1h 17m</t>
        </is>
      </c>
      <c r="AP45" s="34" t="n">
        <v>169.8</v>
      </c>
      <c r="AQ45" s="28" t="n">
        <v>-2.198</v>
      </c>
      <c r="AR45" s="31" t="n">
        <v>12.92</v>
      </c>
      <c r="AS45" s="28" t="n">
        <v>0.3125</v>
      </c>
      <c r="AT45" s="28" t="n">
        <v>0</v>
      </c>
      <c r="AU45" s="28" t="n">
        <v>-0.6875</v>
      </c>
      <c r="AV45" s="27" t="inlineStr">
        <is>
          <t>Yes</t>
        </is>
      </c>
      <c r="AW45" s="27" t="inlineStr">
        <is>
          <t>No</t>
        </is>
      </c>
      <c r="AX45" s="35" t="n">
        <v>0.53</v>
      </c>
      <c r="AY45" s="31" t="n">
        <v>978.14</v>
      </c>
      <c r="AZ45" s="31" t="n">
        <v>52.82</v>
      </c>
      <c r="BA45" s="34" t="n">
        <v>5.123</v>
      </c>
      <c r="BB45" s="36" t="n">
        <v>-3</v>
      </c>
      <c r="BC45" s="27" t="inlineStr">
        <is>
          <t>ticks</t>
        </is>
      </c>
      <c r="BD45" s="24" t="n">
        <v>3091</v>
      </c>
      <c r="BE45" s="24" t="n">
        <v>9</v>
      </c>
      <c r="BF45" s="27" t="inlineStr">
        <is>
          <t>3214929/DAXEUR/2026-07-30_56431283_DAXEUR_sell_loss</t>
        </is>
      </c>
      <c r="BG45" s="27" t="n"/>
    </row>
    <row r="46" ht="16" customHeight="1">
      <c r="A46" s="24" t="n">
        <v>45</v>
      </c>
      <c r="B46" s="26" t="n">
        <v>56441872</v>
      </c>
      <c r="C46" s="27" t="inlineStr">
        <is>
          <t>DAXEUR</t>
        </is>
      </c>
      <c r="D46" s="27" t="inlineStr">
        <is>
          <t>sell</t>
        </is>
      </c>
      <c r="E46" s="28" t="n">
        <v>0.05</v>
      </c>
      <c r="F46" s="29" t="n">
        <v>46233.78889310185</v>
      </c>
      <c r="G46" s="29" t="n">
        <v>46233.79310842593</v>
      </c>
      <c r="H46" s="27" t="inlineStr">
        <is>
          <t>Thursday</t>
        </is>
      </c>
      <c r="I46" s="26" t="n">
        <v>18</v>
      </c>
      <c r="J46" s="27" t="inlineStr">
        <is>
          <t>NY Late</t>
        </is>
      </c>
      <c r="K46" s="27" t="inlineStr">
        <is>
          <t>2026-W31</t>
        </is>
      </c>
      <c r="L46" s="27" t="inlineStr">
        <is>
          <t>2026-07</t>
        </is>
      </c>
      <c r="M46" s="27" t="inlineStr">
        <is>
          <t>6m 04s</t>
        </is>
      </c>
      <c r="N46" s="30" t="n">
        <v>364.2039999961853</v>
      </c>
      <c r="O46" s="28" t="n">
        <v>6.07</v>
      </c>
      <c r="P46" s="27" t="inlineStr">
        <is>
          <t>C. 5-15 min</t>
        </is>
      </c>
      <c r="Q46" s="28" t="n">
        <v>25684.28</v>
      </c>
      <c r="R46" s="28" t="n">
        <v>25700.53</v>
      </c>
      <c r="S46" s="28" t="n">
        <v>25693.36</v>
      </c>
      <c r="T46" s="28" t="n">
        <v>25675.34</v>
      </c>
      <c r="U46" s="28" t="n">
        <v>25700.37</v>
      </c>
      <c r="V46" s="27" t="inlineStr">
        <is>
          <t>Widened</t>
        </is>
      </c>
      <c r="W46" s="30" t="n">
        <v>-701</v>
      </c>
      <c r="X46" s="31" t="n">
        <v>5.24</v>
      </c>
      <c r="Y46" s="28" t="n">
        <v>0.985</v>
      </c>
      <c r="Z46" s="32" t="n">
        <v>-1.79</v>
      </c>
      <c r="AA46" s="27" t="inlineStr">
        <is>
          <t>A. &lt;= -1.5R</t>
        </is>
      </c>
      <c r="AB46" s="31" t="n">
        <v>-9.380000000000001</v>
      </c>
      <c r="AC46" s="31" t="n">
        <v>0</v>
      </c>
      <c r="AD46" s="33" t="n">
        <v>-9.380000000000001</v>
      </c>
      <c r="AE46" s="27" t="inlineStr">
        <is>
          <t>Loss</t>
        </is>
      </c>
      <c r="AF46" s="27" t="inlineStr">
        <is>
          <t>Stop Loss</t>
        </is>
      </c>
      <c r="AG46" s="30" t="n">
        <v>-1625</v>
      </c>
      <c r="AH46" s="31" t="n">
        <v>0.44</v>
      </c>
      <c r="AI46" s="31" t="n">
        <v>-9.380000000000001</v>
      </c>
      <c r="AJ46" s="28" t="n">
        <v>0.08400000000000001</v>
      </c>
      <c r="AK46" s="28" t="n">
        <v>-1.79</v>
      </c>
      <c r="AL46" s="28" t="n">
        <v>25683.53</v>
      </c>
      <c r="AM46" s="28" t="n">
        <v>25700.53</v>
      </c>
      <c r="AN46" s="27" t="inlineStr">
        <is>
          <t>22s</t>
        </is>
      </c>
      <c r="AO46" s="27" t="inlineStr">
        <is>
          <t>6m 04s</t>
        </is>
      </c>
      <c r="AP46" s="34" t="n">
        <v>179</v>
      </c>
      <c r="AQ46" s="28" t="n">
        <v>-21.318</v>
      </c>
      <c r="AR46" s="31" t="n">
        <v>9.82</v>
      </c>
      <c r="AS46" s="28" t="n">
        <v>0.0441</v>
      </c>
      <c r="AT46" s="28" t="n">
        <v>0</v>
      </c>
      <c r="AU46" s="28" t="n">
        <v>-0.9559</v>
      </c>
      <c r="AV46" s="27" t="inlineStr">
        <is>
          <t>Yes</t>
        </is>
      </c>
      <c r="AW46" s="27" t="inlineStr">
        <is>
          <t>No</t>
        </is>
      </c>
      <c r="AX46" s="35" t="n">
        <v>0.536</v>
      </c>
      <c r="AY46" s="31" t="n">
        <v>968.76</v>
      </c>
      <c r="AZ46" s="31" t="n">
        <v>62.2</v>
      </c>
      <c r="BA46" s="34" t="n">
        <v>6.033</v>
      </c>
      <c r="BB46" s="36" t="n">
        <v>-4</v>
      </c>
      <c r="BC46" s="27" t="inlineStr">
        <is>
          <t>ticks</t>
        </is>
      </c>
      <c r="BD46" s="24" t="n">
        <v>189</v>
      </c>
      <c r="BE46" s="24" t="n">
        <v>9</v>
      </c>
      <c r="BF46" s="27" t="inlineStr">
        <is>
          <t>3214929/DAXEUR/2026-07-30_56441872_DAXEUR_sell_loss</t>
        </is>
      </c>
      <c r="BG46" s="27" t="n"/>
    </row>
    <row r="47" ht="16" customHeight="1">
      <c r="A47" s="24" t="n">
        <v>46</v>
      </c>
      <c r="B47" s="26" t="n">
        <v>56432997</v>
      </c>
      <c r="C47" s="27" t="inlineStr">
        <is>
          <t>XAUUSD</t>
        </is>
      </c>
      <c r="D47" s="27" t="inlineStr">
        <is>
          <t>sell</t>
        </is>
      </c>
      <c r="E47" s="28" t="n">
        <v>0.03</v>
      </c>
      <c r="F47" s="29" t="n">
        <v>46233.75675806713</v>
      </c>
      <c r="G47" s="29" t="n">
        <v>46233.80373178241</v>
      </c>
      <c r="H47" s="27" t="inlineStr">
        <is>
          <t>Thursday</t>
        </is>
      </c>
      <c r="I47" s="26" t="n">
        <v>18</v>
      </c>
      <c r="J47" s="27" t="inlineStr">
        <is>
          <t>NY Late</t>
        </is>
      </c>
      <c r="K47" s="27" t="inlineStr">
        <is>
          <t>2026-W31</t>
        </is>
      </c>
      <c r="L47" s="27" t="inlineStr">
        <is>
          <t>2026-07</t>
        </is>
      </c>
      <c r="M47" s="27" t="inlineStr">
        <is>
          <t>1h 07m</t>
        </is>
      </c>
      <c r="N47" s="30" t="n">
        <v>4058.529000043869</v>
      </c>
      <c r="O47" s="28" t="n">
        <v>67.642</v>
      </c>
      <c r="P47" s="27" t="inlineStr">
        <is>
          <t>F. 1-4 h</t>
        </is>
      </c>
      <c r="Q47" s="28" t="n">
        <v>4106.16</v>
      </c>
      <c r="R47" s="28" t="n">
        <v>4109.92</v>
      </c>
      <c r="S47" s="28" t="n">
        <v>4109.36</v>
      </c>
      <c r="T47" s="28" t="n">
        <v>4089.34</v>
      </c>
      <c r="U47" s="28" t="n">
        <v>4109.91</v>
      </c>
      <c r="V47" s="27" t="inlineStr">
        <is>
          <t>Widened</t>
        </is>
      </c>
      <c r="W47" s="30" t="n">
        <v>-55</v>
      </c>
      <c r="X47" s="31" t="n">
        <v>9.6</v>
      </c>
      <c r="Y47" s="28" t="n">
        <v>5.256</v>
      </c>
      <c r="Z47" s="32" t="n">
        <v>-1.19</v>
      </c>
      <c r="AA47" s="27" t="inlineStr">
        <is>
          <t>B. -1.5R..-1R</t>
        </is>
      </c>
      <c r="AB47" s="31" t="n">
        <v>-11.28</v>
      </c>
      <c r="AC47" s="31" t="n">
        <v>-0.14</v>
      </c>
      <c r="AD47" s="33" t="n">
        <v>-11.42</v>
      </c>
      <c r="AE47" s="27" t="inlineStr">
        <is>
          <t>Loss</t>
        </is>
      </c>
      <c r="AF47" s="27" t="inlineStr">
        <is>
          <t>Stop Loss</t>
        </is>
      </c>
      <c r="AG47" s="30" t="n">
        <v>-376</v>
      </c>
      <c r="AH47" s="31" t="n">
        <v>21.24</v>
      </c>
      <c r="AI47" s="31" t="n">
        <v>-11.7</v>
      </c>
      <c r="AJ47" s="28" t="n">
        <v>2.212</v>
      </c>
      <c r="AK47" s="28" t="n">
        <v>-1.219</v>
      </c>
      <c r="AL47" s="28" t="n">
        <v>4099.08</v>
      </c>
      <c r="AM47" s="28" t="n">
        <v>4110.06</v>
      </c>
      <c r="AN47" s="27" t="inlineStr">
        <is>
          <t>51m 01s</t>
        </is>
      </c>
      <c r="AO47" s="27" t="inlineStr">
        <is>
          <t>1h 07m</t>
        </is>
      </c>
      <c r="AP47" s="34" t="n">
        <v>121.9</v>
      </c>
      <c r="AQ47" s="28" t="n">
        <v>-0.538</v>
      </c>
      <c r="AR47" s="31" t="n">
        <v>32.66</v>
      </c>
      <c r="AS47" s="28" t="n">
        <v>0.6448</v>
      </c>
      <c r="AT47" s="28" t="n">
        <v>0.0128</v>
      </c>
      <c r="AU47" s="28" t="n">
        <v>-0.3424</v>
      </c>
      <c r="AV47" s="27" t="inlineStr">
        <is>
          <t>Yes</t>
        </is>
      </c>
      <c r="AW47" s="27" t="inlineStr">
        <is>
          <t>No</t>
        </is>
      </c>
      <c r="AX47" s="35" t="n">
        <v>0.991</v>
      </c>
      <c r="AY47" s="31" t="n">
        <v>957.34</v>
      </c>
      <c r="AZ47" s="31" t="n">
        <v>73.62</v>
      </c>
      <c r="BA47" s="34" t="n">
        <v>7.141</v>
      </c>
      <c r="BB47" s="36" t="n">
        <v>-5</v>
      </c>
      <c r="BC47" s="27" t="inlineStr">
        <is>
          <t>ticks</t>
        </is>
      </c>
      <c r="BD47" s="24" t="n">
        <v>6584</v>
      </c>
      <c r="BE47" s="24" t="n">
        <v>9</v>
      </c>
      <c r="BF47" s="27" t="inlineStr">
        <is>
          <t>3214929/XAUUSD/2026-07-30_56432997_XAUUSD_sell_loss</t>
        </is>
      </c>
      <c r="BG47" s="27" t="n"/>
    </row>
    <row r="48" ht="16" customHeight="1">
      <c r="A48" s="24" t="n">
        <v>47</v>
      </c>
      <c r="B48" s="26" t="n">
        <v>56578223</v>
      </c>
      <c r="C48" s="27" t="inlineStr">
        <is>
          <t>NDXUSD</t>
        </is>
      </c>
      <c r="D48" s="27" t="inlineStr">
        <is>
          <t>sell</t>
        </is>
      </c>
      <c r="E48" s="28" t="n">
        <v>0.06</v>
      </c>
      <c r="F48" s="29" t="n">
        <v>46234.45293283565</v>
      </c>
      <c r="G48" s="29" t="n">
        <v>46234.45931753473</v>
      </c>
      <c r="H48" s="27" t="inlineStr">
        <is>
          <t>Friday</t>
        </is>
      </c>
      <c r="I48" s="26" t="n">
        <v>10</v>
      </c>
      <c r="J48" s="27" t="inlineStr">
        <is>
          <t>London</t>
        </is>
      </c>
      <c r="K48" s="27" t="inlineStr">
        <is>
          <t>2026-W31</t>
        </is>
      </c>
      <c r="L48" s="27" t="inlineStr">
        <is>
          <t>2026-07</t>
        </is>
      </c>
      <c r="M48" s="27" t="inlineStr">
        <is>
          <t>9m 12s</t>
        </is>
      </c>
      <c r="N48" s="30" t="n">
        <v>551.6380000114441</v>
      </c>
      <c r="O48" s="28" t="n">
        <v>9.194000000000001</v>
      </c>
      <c r="P48" s="27" t="inlineStr">
        <is>
          <t>C. 5-15 min</t>
        </is>
      </c>
      <c r="Q48" s="28" t="n">
        <v>28445.4</v>
      </c>
      <c r="R48" s="28" t="n">
        <v>28463.55</v>
      </c>
      <c r="S48" s="28" t="n">
        <v>28459.32</v>
      </c>
      <c r="T48" s="28" t="n">
        <v>28378.31</v>
      </c>
      <c r="U48" s="28" t="n">
        <v>28461.01</v>
      </c>
      <c r="V48" s="27" t="inlineStr">
        <is>
          <t>Widened</t>
        </is>
      </c>
      <c r="W48" s="30" t="n">
        <v>-169</v>
      </c>
      <c r="X48" s="31" t="n">
        <v>8.35</v>
      </c>
      <c r="Y48" s="28" t="n">
        <v>4.82</v>
      </c>
      <c r="Z48" s="32" t="n">
        <v>-1.304</v>
      </c>
      <c r="AA48" s="27" t="inlineStr">
        <is>
          <t>B. -1.5R..-1R</t>
        </is>
      </c>
      <c r="AB48" s="31" t="n">
        <v>-10.89</v>
      </c>
      <c r="AC48" s="31" t="n">
        <v>0</v>
      </c>
      <c r="AD48" s="33" t="n">
        <v>-10.89</v>
      </c>
      <c r="AE48" s="27" t="inlineStr">
        <is>
          <t>Loss</t>
        </is>
      </c>
      <c r="AF48" s="27" t="inlineStr">
        <is>
          <t>Stop Loss</t>
        </is>
      </c>
      <c r="AG48" s="30" t="n">
        <v>-1815</v>
      </c>
      <c r="AH48" s="31" t="n">
        <v>7.95</v>
      </c>
      <c r="AI48" s="31" t="n">
        <v>-10.95</v>
      </c>
      <c r="AJ48" s="28" t="n">
        <v>0.952</v>
      </c>
      <c r="AK48" s="28" t="n">
        <v>-1.311</v>
      </c>
      <c r="AL48" s="28" t="n">
        <v>28432.15</v>
      </c>
      <c r="AM48" s="28" t="n">
        <v>28463.65</v>
      </c>
      <c r="AN48" s="27" t="inlineStr">
        <is>
          <t>7m 27s</t>
        </is>
      </c>
      <c r="AO48" s="27" t="inlineStr">
        <is>
          <t>9m 12s</t>
        </is>
      </c>
      <c r="AP48" s="34" t="n">
        <v>131.1</v>
      </c>
      <c r="AQ48" s="28" t="n">
        <v>-1.37</v>
      </c>
      <c r="AR48" s="31" t="n">
        <v>18.84</v>
      </c>
      <c r="AS48" s="28" t="n">
        <v>0.4206</v>
      </c>
      <c r="AT48" s="28" t="n">
        <v>0.0032</v>
      </c>
      <c r="AU48" s="28" t="n">
        <v>-0.5762</v>
      </c>
      <c r="AV48" s="27" t="inlineStr">
        <is>
          <t>Yes</t>
        </is>
      </c>
      <c r="AW48" s="27" t="inlineStr">
        <is>
          <t>No</t>
        </is>
      </c>
      <c r="AX48" s="35" t="n">
        <v>0.872</v>
      </c>
      <c r="AY48" s="31" t="n">
        <v>946.45</v>
      </c>
      <c r="AZ48" s="31" t="n">
        <v>84.51000000000001</v>
      </c>
      <c r="BA48" s="34" t="n">
        <v>8.196999999999999</v>
      </c>
      <c r="BB48" s="36" t="n">
        <v>-6</v>
      </c>
      <c r="BC48" s="27" t="inlineStr">
        <is>
          <t>ticks</t>
        </is>
      </c>
      <c r="BD48" s="24" t="n">
        <v>1244</v>
      </c>
      <c r="BE48" s="24" t="n">
        <v>9</v>
      </c>
      <c r="BF48" s="27" t="inlineStr">
        <is>
          <t>3214929/NDXUSD/2026-07-31_56578223_NDXUSD_sell_loss</t>
        </is>
      </c>
      <c r="BG48" s="27" t="n"/>
    </row>
    <row r="49" ht="16" customHeight="1">
      <c r="A49" s="24" t="n">
        <v>48</v>
      </c>
      <c r="B49" s="26" t="n">
        <v>56583758</v>
      </c>
      <c r="C49" s="27" t="inlineStr">
        <is>
          <t>XAUUSD</t>
        </is>
      </c>
      <c r="D49" s="27" t="inlineStr">
        <is>
          <t>sell</t>
        </is>
      </c>
      <c r="E49" s="28" t="n">
        <v>0.04</v>
      </c>
      <c r="F49" s="29" t="n">
        <v>46234.46658384259</v>
      </c>
      <c r="G49" s="29" t="n">
        <v>46234.48786695602</v>
      </c>
      <c r="H49" s="27" t="inlineStr">
        <is>
          <t>Friday</t>
        </is>
      </c>
      <c r="I49" s="26" t="n">
        <v>11</v>
      </c>
      <c r="J49" s="27" t="inlineStr">
        <is>
          <t>London</t>
        </is>
      </c>
      <c r="K49" s="27" t="inlineStr">
        <is>
          <t>2026-W31</t>
        </is>
      </c>
      <c r="L49" s="27" t="inlineStr">
        <is>
          <t>2026-07</t>
        </is>
      </c>
      <c r="M49" s="27" t="inlineStr">
        <is>
          <t>30m 39s</t>
        </is>
      </c>
      <c r="N49" s="30" t="n">
        <v>1838.860999822617</v>
      </c>
      <c r="O49" s="28" t="n">
        <v>30.648</v>
      </c>
      <c r="P49" s="27" t="inlineStr">
        <is>
          <t>E. 30-60 min</t>
        </is>
      </c>
      <c r="Q49" s="28" t="n">
        <v>4058.78</v>
      </c>
      <c r="R49" s="28" t="n">
        <v>4051.74</v>
      </c>
      <c r="S49" s="28" t="n">
        <v>4061.53</v>
      </c>
      <c r="T49" s="27" t="n"/>
      <c r="U49" s="28" t="n">
        <v>4061.53</v>
      </c>
      <c r="V49" s="27" t="inlineStr">
        <is>
          <t>Unchanged</t>
        </is>
      </c>
      <c r="W49" s="30" t="n">
        <v>0</v>
      </c>
      <c r="X49" s="31" t="n">
        <v>11</v>
      </c>
      <c r="Y49" s="28" t="n"/>
      <c r="Z49" s="32" t="n">
        <v>2.544</v>
      </c>
      <c r="AA49" s="27" t="inlineStr">
        <is>
          <t>I. 2R..3R</t>
        </is>
      </c>
      <c r="AB49" s="31" t="n">
        <v>28.16</v>
      </c>
      <c r="AC49" s="31" t="n">
        <v>-0.18</v>
      </c>
      <c r="AD49" s="33" t="n">
        <v>27.98</v>
      </c>
      <c r="AE49" s="27" t="inlineStr">
        <is>
          <t>Win</t>
        </is>
      </c>
      <c r="AF49" s="27" t="inlineStr">
        <is>
          <t>Take Profit</t>
        </is>
      </c>
      <c r="AG49" s="30" t="n">
        <v>704</v>
      </c>
      <c r="AH49" s="31" t="n">
        <v>28.16</v>
      </c>
      <c r="AI49" s="31" t="n">
        <v>-10.08</v>
      </c>
      <c r="AJ49" s="28" t="n">
        <v>2.56</v>
      </c>
      <c r="AK49" s="28" t="n">
        <v>-0.916</v>
      </c>
      <c r="AL49" s="28" t="n">
        <v>4051.74</v>
      </c>
      <c r="AM49" s="28" t="n">
        <v>4061.3</v>
      </c>
      <c r="AN49" s="27" t="inlineStr">
        <is>
          <t>30m 39s</t>
        </is>
      </c>
      <c r="AO49" s="27" t="inlineStr">
        <is>
          <t>13m 10s</t>
        </is>
      </c>
      <c r="AP49" s="34" t="n">
        <v>91.59999999999999</v>
      </c>
      <c r="AQ49" s="28" t="n">
        <v>0.994</v>
      </c>
      <c r="AR49" s="31" t="n">
        <v>0.18</v>
      </c>
      <c r="AS49" s="28" t="n">
        <v>0.7364000000000001</v>
      </c>
      <c r="AT49" s="28" t="n">
        <v>1</v>
      </c>
      <c r="AU49" s="28" t="n">
        <v>0.7364000000000001</v>
      </c>
      <c r="AV49" s="27" t="inlineStr">
        <is>
          <t>No</t>
        </is>
      </c>
      <c r="AW49" s="27" t="inlineStr">
        <is>
          <t>No</t>
        </is>
      </c>
      <c r="AX49" s="35" t="n">
        <v>1.162</v>
      </c>
      <c r="AY49" s="31" t="n">
        <v>974.4299999999999</v>
      </c>
      <c r="AZ49" s="31" t="n">
        <v>56.53</v>
      </c>
      <c r="BA49" s="34" t="n">
        <v>5.483</v>
      </c>
      <c r="BB49" s="36" t="n">
        <v>1</v>
      </c>
      <c r="BC49" s="27" t="inlineStr">
        <is>
          <t>ticks</t>
        </is>
      </c>
      <c r="BD49" s="24" t="n">
        <v>2812</v>
      </c>
      <c r="BE49" s="24" t="n">
        <v>9</v>
      </c>
      <c r="BF49" s="27" t="inlineStr">
        <is>
          <t>3214929/XAUUSD/2026-07-31_56583758_XAUUSD_sell_win</t>
        </is>
      </c>
      <c r="BG49" s="27" t="n"/>
    </row>
    <row r="50" ht="16" customHeight="1">
      <c r="A50" s="24" t="n">
        <v>49</v>
      </c>
      <c r="B50" s="26" t="n">
        <v>56651727</v>
      </c>
      <c r="C50" s="27" t="inlineStr">
        <is>
          <t>DJIUSD</t>
        </is>
      </c>
      <c r="D50" s="27" t="inlineStr">
        <is>
          <t>buy</t>
        </is>
      </c>
      <c r="E50" s="28" t="n">
        <v>0.03</v>
      </c>
      <c r="F50" s="29" t="n">
        <v>46234.56628017361</v>
      </c>
      <c r="G50" s="29" t="n">
        <v>46234.56926079861</v>
      </c>
      <c r="H50" s="27" t="inlineStr">
        <is>
          <t>Friday</t>
        </is>
      </c>
      <c r="I50" s="26" t="n">
        <v>13</v>
      </c>
      <c r="J50" s="27" t="inlineStr">
        <is>
          <t>NY Overlap</t>
        </is>
      </c>
      <c r="K50" s="27" t="inlineStr">
        <is>
          <t>2026-W31</t>
        </is>
      </c>
      <c r="L50" s="27" t="inlineStr">
        <is>
          <t>2026-07</t>
        </is>
      </c>
      <c r="M50" s="27" t="inlineStr">
        <is>
          <t>4m 18s</t>
        </is>
      </c>
      <c r="N50" s="30" t="n">
        <v>257.5259997844696</v>
      </c>
      <c r="O50" s="28" t="n">
        <v>4.292</v>
      </c>
      <c r="P50" s="27" t="inlineStr">
        <is>
          <t>B. 1-5 min</t>
        </is>
      </c>
      <c r="Q50" s="28" t="n">
        <v>52397.84</v>
      </c>
      <c r="R50" s="28" t="n">
        <v>52361.05</v>
      </c>
      <c r="S50" s="28" t="n">
        <v>52366.96</v>
      </c>
      <c r="T50" s="28" t="n">
        <v>52497.5</v>
      </c>
      <c r="U50" s="28" t="n">
        <v>52361.46</v>
      </c>
      <c r="V50" s="27" t="inlineStr">
        <is>
          <t>Widened</t>
        </is>
      </c>
      <c r="W50" s="30" t="n">
        <v>-550</v>
      </c>
      <c r="X50" s="31" t="n">
        <v>9.26</v>
      </c>
      <c r="Y50" s="28" t="n">
        <v>3.229</v>
      </c>
      <c r="Z50" s="32" t="n">
        <v>-1.192</v>
      </c>
      <c r="AA50" s="27" t="inlineStr">
        <is>
          <t>B. -1.5R..-1R</t>
        </is>
      </c>
      <c r="AB50" s="31" t="n">
        <v>-11.04</v>
      </c>
      <c r="AC50" s="31" t="n">
        <v>0</v>
      </c>
      <c r="AD50" s="33" t="n">
        <v>-11.04</v>
      </c>
      <c r="AE50" s="27" t="inlineStr">
        <is>
          <t>Loss</t>
        </is>
      </c>
      <c r="AF50" s="27" t="inlineStr">
        <is>
          <t>Stop Loss</t>
        </is>
      </c>
      <c r="AG50" s="30" t="n">
        <v>-3679</v>
      </c>
      <c r="AH50" s="31" t="n">
        <v>9.210000000000001</v>
      </c>
      <c r="AI50" s="31" t="n">
        <v>-13.44</v>
      </c>
      <c r="AJ50" s="28" t="n">
        <v>0.995</v>
      </c>
      <c r="AK50" s="28" t="n">
        <v>-1.451</v>
      </c>
      <c r="AL50" s="28" t="n">
        <v>52428.55</v>
      </c>
      <c r="AM50" s="28" t="n">
        <v>52353.05</v>
      </c>
      <c r="AN50" s="27" t="inlineStr">
        <is>
          <t>2m 00s</t>
        </is>
      </c>
      <c r="AO50" s="27" t="inlineStr">
        <is>
          <t>4m 18s</t>
        </is>
      </c>
      <c r="AP50" s="34" t="n">
        <v>145.1</v>
      </c>
      <c r="AQ50" s="28" t="n">
        <v>-1.199</v>
      </c>
      <c r="AR50" s="31" t="n">
        <v>20.25</v>
      </c>
      <c r="AS50" s="28" t="n">
        <v>0.4068</v>
      </c>
      <c r="AT50" s="28" t="n">
        <v>0.106</v>
      </c>
      <c r="AU50" s="28" t="n">
        <v>-0.4873</v>
      </c>
      <c r="AV50" s="27" t="inlineStr">
        <is>
          <t>Yes</t>
        </is>
      </c>
      <c r="AW50" s="27" t="inlineStr">
        <is>
          <t>No</t>
        </is>
      </c>
      <c r="AX50" s="35" t="n">
        <v>0.95</v>
      </c>
      <c r="AY50" s="31" t="n">
        <v>963.39</v>
      </c>
      <c r="AZ50" s="31" t="n">
        <v>67.56999999999999</v>
      </c>
      <c r="BA50" s="34" t="n">
        <v>6.554</v>
      </c>
      <c r="BB50" s="36" t="n">
        <v>-1</v>
      </c>
      <c r="BC50" s="27" t="inlineStr">
        <is>
          <t>ticks</t>
        </is>
      </c>
      <c r="BD50" s="24" t="n">
        <v>651</v>
      </c>
      <c r="BE50" s="24" t="n">
        <v>9</v>
      </c>
      <c r="BF50" s="27" t="inlineStr">
        <is>
          <t>3214929/DJIUSD/2026-07-31_56651727_DJIUSD_buy_loss</t>
        </is>
      </c>
      <c r="BG50" s="27" t="n"/>
    </row>
    <row r="51" ht="16" customHeight="1">
      <c r="A51" s="24" t="n">
        <v>50</v>
      </c>
      <c r="B51" s="26" t="n">
        <v>56718085</v>
      </c>
      <c r="C51" s="27" t="inlineStr">
        <is>
          <t>DJIUSD</t>
        </is>
      </c>
      <c r="D51" s="27" t="inlineStr">
        <is>
          <t>sell</t>
        </is>
      </c>
      <c r="E51" s="28" t="n">
        <v>0.03</v>
      </c>
      <c r="F51" s="29" t="n">
        <v>46234.62728842592</v>
      </c>
      <c r="G51" s="29" t="n">
        <v>46234.63468311343</v>
      </c>
      <c r="H51" s="27" t="inlineStr">
        <is>
          <t>Friday</t>
        </is>
      </c>
      <c r="I51" s="26" t="n">
        <v>15</v>
      </c>
      <c r="J51" s="27" t="inlineStr">
        <is>
          <t>NY Overlap</t>
        </is>
      </c>
      <c r="K51" s="27" t="inlineStr">
        <is>
          <t>2026-W31</t>
        </is>
      </c>
      <c r="L51" s="27" t="inlineStr">
        <is>
          <t>2026-07</t>
        </is>
      </c>
      <c r="M51" s="27" t="inlineStr">
        <is>
          <t>10m 39s</t>
        </is>
      </c>
      <c r="N51" s="30" t="n">
        <v>638.9010000228882</v>
      </c>
      <c r="O51" s="28" t="n">
        <v>10.648</v>
      </c>
      <c r="P51" s="27" t="inlineStr">
        <is>
          <t>C. 5-15 min</t>
        </is>
      </c>
      <c r="Q51" s="28" t="n">
        <v>52281.1</v>
      </c>
      <c r="R51" s="28" t="n">
        <v>52322.89</v>
      </c>
      <c r="S51" s="28" t="n">
        <v>52321.94</v>
      </c>
      <c r="T51" s="28" t="n">
        <v>52072.66</v>
      </c>
      <c r="U51" s="28" t="n">
        <v>52321.94</v>
      </c>
      <c r="V51" s="27" t="inlineStr">
        <is>
          <t>Unchanged</t>
        </is>
      </c>
      <c r="W51" s="30" t="n">
        <v>0</v>
      </c>
      <c r="X51" s="31" t="n">
        <v>12.25</v>
      </c>
      <c r="Y51" s="28" t="n">
        <v>5.104</v>
      </c>
      <c r="Z51" s="32" t="n">
        <v>-1.024</v>
      </c>
      <c r="AA51" s="27" t="inlineStr">
        <is>
          <t>B. -1.5R..-1R</t>
        </is>
      </c>
      <c r="AB51" s="31" t="n">
        <v>-12.54</v>
      </c>
      <c r="AC51" s="31" t="n">
        <v>0</v>
      </c>
      <c r="AD51" s="33" t="n">
        <v>-12.54</v>
      </c>
      <c r="AE51" s="27" t="inlineStr">
        <is>
          <t>Loss</t>
        </is>
      </c>
      <c r="AF51" s="27" t="inlineStr">
        <is>
          <t>Stop Loss</t>
        </is>
      </c>
      <c r="AG51" s="30" t="n">
        <v>-4179</v>
      </c>
      <c r="AH51" s="31" t="n">
        <v>13.86</v>
      </c>
      <c r="AI51" s="31" t="n">
        <v>-12.84</v>
      </c>
      <c r="AJ51" s="28" t="n">
        <v>1.131</v>
      </c>
      <c r="AK51" s="28" t="n">
        <v>-1.048</v>
      </c>
      <c r="AL51" s="28" t="n">
        <v>52234.89</v>
      </c>
      <c r="AM51" s="28" t="n">
        <v>52323.89</v>
      </c>
      <c r="AN51" s="27" t="inlineStr">
        <is>
          <t>6m 21s</t>
        </is>
      </c>
      <c r="AO51" s="27" t="inlineStr">
        <is>
          <t>10m 39s</t>
        </is>
      </c>
      <c r="AP51" s="34" t="n">
        <v>104.8</v>
      </c>
      <c r="AQ51" s="28" t="n">
        <v>-0.905</v>
      </c>
      <c r="AR51" s="31" t="n">
        <v>26.4</v>
      </c>
      <c r="AS51" s="28" t="n">
        <v>0.5192</v>
      </c>
      <c r="AT51" s="28" t="n">
        <v>0.0112</v>
      </c>
      <c r="AU51" s="28" t="n">
        <v>-0.4696</v>
      </c>
      <c r="AV51" s="27" t="inlineStr">
        <is>
          <t>Yes</t>
        </is>
      </c>
      <c r="AW51" s="27" t="inlineStr">
        <is>
          <t>No</t>
        </is>
      </c>
      <c r="AX51" s="35" t="n">
        <v>1.272</v>
      </c>
      <c r="AY51" s="31" t="n">
        <v>950.85</v>
      </c>
      <c r="AZ51" s="31" t="n">
        <v>80.11</v>
      </c>
      <c r="BA51" s="34" t="n">
        <v>7.77</v>
      </c>
      <c r="BB51" s="36" t="n">
        <v>-2</v>
      </c>
      <c r="BC51" s="27" t="inlineStr">
        <is>
          <t>ticks</t>
        </is>
      </c>
      <c r="BD51" s="24" t="n">
        <v>1446</v>
      </c>
      <c r="BE51" s="24" t="n">
        <v>9</v>
      </c>
      <c r="BF51" s="27" t="inlineStr">
        <is>
          <t>3214929/DJIUSD/2026-07-31_56718085_DJIUSD_sell_loss</t>
        </is>
      </c>
      <c r="BG51" s="27" t="n"/>
    </row>
    <row r="52" ht="16" customHeight="1">
      <c r="A52" s="24" t="n">
        <v>51</v>
      </c>
      <c r="B52" s="26" t="n">
        <v>56724703</v>
      </c>
      <c r="C52" s="27" t="inlineStr">
        <is>
          <t>DJIUSD</t>
        </is>
      </c>
      <c r="D52" s="27" t="inlineStr">
        <is>
          <t>buy</t>
        </is>
      </c>
      <c r="E52" s="28" t="n">
        <v>0.02</v>
      </c>
      <c r="F52" s="29" t="n">
        <v>46234.64356725694</v>
      </c>
      <c r="G52" s="29" t="n">
        <v>46234.72526959491</v>
      </c>
      <c r="H52" s="27" t="inlineStr">
        <is>
          <t>Friday</t>
        </is>
      </c>
      <c r="I52" s="26" t="n">
        <v>15</v>
      </c>
      <c r="J52" s="27" t="inlineStr">
        <is>
          <t>NY Overlap</t>
        </is>
      </c>
      <c r="K52" s="27" t="inlineStr">
        <is>
          <t>2026-W31</t>
        </is>
      </c>
      <c r="L52" s="27" t="inlineStr">
        <is>
          <t>2026-07</t>
        </is>
      </c>
      <c r="M52" s="27" t="inlineStr">
        <is>
          <t>1h 57m</t>
        </is>
      </c>
      <c r="N52" s="30" t="n">
        <v>7059.082000017166</v>
      </c>
      <c r="O52" s="28" t="n">
        <v>117.651</v>
      </c>
      <c r="P52" s="27" t="inlineStr">
        <is>
          <t>F. 1-4 h</t>
        </is>
      </c>
      <c r="Q52" s="28" t="n">
        <v>52248.89000000001</v>
      </c>
      <c r="R52" s="28" t="n">
        <v>52500.05</v>
      </c>
      <c r="S52" s="28" t="n">
        <v>52204.16</v>
      </c>
      <c r="T52" s="27" t="n"/>
      <c r="U52" s="28" t="n">
        <v>52204.16</v>
      </c>
      <c r="V52" s="27" t="inlineStr">
        <is>
          <t>Unchanged</t>
        </is>
      </c>
      <c r="W52" s="30" t="n">
        <v>0</v>
      </c>
      <c r="X52" s="31" t="n">
        <v>8.949999999999999</v>
      </c>
      <c r="Y52" s="28" t="n"/>
      <c r="Z52" s="32" t="n">
        <v>5.612</v>
      </c>
      <c r="AA52" s="27" t="inlineStr">
        <is>
          <t>J. &gt;= 3R</t>
        </is>
      </c>
      <c r="AB52" s="31" t="n">
        <v>50.23</v>
      </c>
      <c r="AC52" s="31" t="n">
        <v>0</v>
      </c>
      <c r="AD52" s="33" t="n">
        <v>50.23</v>
      </c>
      <c r="AE52" s="27" t="inlineStr">
        <is>
          <t>Win</t>
        </is>
      </c>
      <c r="AF52" s="27" t="inlineStr">
        <is>
          <t>Take Profit</t>
        </is>
      </c>
      <c r="AG52" s="30" t="n">
        <v>25116</v>
      </c>
      <c r="AH52" s="31" t="n">
        <v>50.23</v>
      </c>
      <c r="AI52" s="31" t="n">
        <v>-7.16</v>
      </c>
      <c r="AJ52" s="28" t="n">
        <v>5.612</v>
      </c>
      <c r="AK52" s="28" t="n">
        <v>-0.8</v>
      </c>
      <c r="AL52" s="28" t="n">
        <v>52500.05</v>
      </c>
      <c r="AM52" s="28" t="n">
        <v>52213.1</v>
      </c>
      <c r="AN52" s="27" t="inlineStr">
        <is>
          <t>1h 57m</t>
        </is>
      </c>
      <c r="AO52" s="27" t="inlineStr">
        <is>
          <t>7m 34s</t>
        </is>
      </c>
      <c r="AP52" s="34" t="n">
        <v>80</v>
      </c>
      <c r="AQ52" s="28" t="n">
        <v>1</v>
      </c>
      <c r="AR52" s="31" t="n">
        <v>0</v>
      </c>
      <c r="AS52" s="28" t="n">
        <v>0.8753</v>
      </c>
      <c r="AT52" s="28" t="n">
        <v>1</v>
      </c>
      <c r="AU52" s="28" t="n">
        <v>0.8753</v>
      </c>
      <c r="AV52" s="27" t="inlineStr">
        <is>
          <t>No</t>
        </is>
      </c>
      <c r="AW52" s="27" t="inlineStr">
        <is>
          <t>No</t>
        </is>
      </c>
      <c r="AX52" s="35" t="n">
        <v>0.9409999999999999</v>
      </c>
      <c r="AY52" s="31" t="n">
        <v>1001.08</v>
      </c>
      <c r="AZ52" s="31" t="n">
        <v>29.88</v>
      </c>
      <c r="BA52" s="34" t="n">
        <v>2.898</v>
      </c>
      <c r="BB52" s="36" t="n">
        <v>1</v>
      </c>
      <c r="BC52" s="27" t="inlineStr">
        <is>
          <t>ticks</t>
        </is>
      </c>
      <c r="BD52" s="24" t="n">
        <v>13593</v>
      </c>
      <c r="BE52" s="24" t="n">
        <v>9</v>
      </c>
      <c r="BF52" s="27" t="inlineStr">
        <is>
          <t>3214929/DJIUSD/2026-07-31_56724703_DJIUSD_buy_win</t>
        </is>
      </c>
      <c r="BG52" s="27" t="n"/>
    </row>
    <row r="53" ht="16" customHeight="1">
      <c r="A53" s="24" t="n">
        <v>52</v>
      </c>
      <c r="B53" s="26" t="n">
        <v>56847975</v>
      </c>
      <c r="C53" s="27" t="inlineStr">
        <is>
          <t>DAXEUR</t>
        </is>
      </c>
      <c r="D53" s="27" t="inlineStr">
        <is>
          <t>buy</t>
        </is>
      </c>
      <c r="E53" s="28" t="n">
        <v>0.02</v>
      </c>
      <c r="F53" s="29" t="n">
        <v>46237.31521421296</v>
      </c>
      <c r="G53" s="29" t="n">
        <v>46237.31996849537</v>
      </c>
      <c r="H53" s="27" t="inlineStr">
        <is>
          <t>Monday</t>
        </is>
      </c>
      <c r="I53" s="26" t="n">
        <v>7</v>
      </c>
      <c r="J53" s="27" t="inlineStr">
        <is>
          <t>Asia</t>
        </is>
      </c>
      <c r="K53" s="27" t="inlineStr">
        <is>
          <t>2026-W32</t>
        </is>
      </c>
      <c r="L53" s="27" t="inlineStr">
        <is>
          <t>2026-08</t>
        </is>
      </c>
      <c r="M53" s="27" t="inlineStr">
        <is>
          <t>6m 51s</t>
        </is>
      </c>
      <c r="N53" s="30" t="n">
        <v>410.7700002193451</v>
      </c>
      <c r="O53" s="28" t="n">
        <v>6.846</v>
      </c>
      <c r="P53" s="27" t="inlineStr">
        <is>
          <t>C. 5-15 min</t>
        </is>
      </c>
      <c r="Q53" s="28" t="n">
        <v>25968.82</v>
      </c>
      <c r="R53" s="28" t="n">
        <v>25949.48</v>
      </c>
      <c r="S53" s="28" t="n">
        <v>25950.05</v>
      </c>
      <c r="T53" s="28" t="n">
        <v>25990.52</v>
      </c>
      <c r="U53" s="28" t="n">
        <v>25950.05</v>
      </c>
      <c r="V53" s="27" t="inlineStr">
        <is>
          <t>Unchanged</t>
        </is>
      </c>
      <c r="W53" s="30" t="n">
        <v>0</v>
      </c>
      <c r="X53" s="31" t="n">
        <v>4.33</v>
      </c>
      <c r="Y53" s="28" t="n">
        <v>1.157</v>
      </c>
      <c r="Z53" s="32" t="n">
        <v>-1.03</v>
      </c>
      <c r="AA53" s="27" t="inlineStr">
        <is>
          <t>B. -1.5R..-1R</t>
        </is>
      </c>
      <c r="AB53" s="31" t="n">
        <v>-4.46</v>
      </c>
      <c r="AC53" s="31" t="n">
        <v>0</v>
      </c>
      <c r="AD53" s="33" t="n">
        <v>-4.46</v>
      </c>
      <c r="AE53" s="27" t="inlineStr">
        <is>
          <t>Loss</t>
        </is>
      </c>
      <c r="AF53" s="27" t="inlineStr">
        <is>
          <t>Stop Loss</t>
        </is>
      </c>
      <c r="AG53" s="30" t="n">
        <v>-1934</v>
      </c>
      <c r="AH53" s="31" t="n">
        <v>6.26</v>
      </c>
      <c r="AI53" s="31" t="n">
        <v>-4.46</v>
      </c>
      <c r="AJ53" s="28" t="n">
        <v>1.446</v>
      </c>
      <c r="AK53" s="28" t="n">
        <v>-1.03</v>
      </c>
      <c r="AL53" s="28" t="n">
        <v>25995.98</v>
      </c>
      <c r="AM53" s="28" t="n">
        <v>25949.48</v>
      </c>
      <c r="AN53" s="27" t="inlineStr">
        <is>
          <t>1m 51s</t>
        </is>
      </c>
      <c r="AO53" s="27" t="inlineStr">
        <is>
          <t>6m 50s</t>
        </is>
      </c>
      <c r="AP53" s="34" t="n">
        <v>103</v>
      </c>
      <c r="AQ53" s="28" t="n">
        <v>-0.712</v>
      </c>
      <c r="AR53" s="31" t="n">
        <v>10.72</v>
      </c>
      <c r="AS53" s="28" t="n">
        <v>0.5841</v>
      </c>
      <c r="AT53" s="28" t="n">
        <v>0</v>
      </c>
      <c r="AU53" s="28" t="n">
        <v>-0.4159</v>
      </c>
      <c r="AV53" s="27" t="inlineStr">
        <is>
          <t>Yes</t>
        </is>
      </c>
      <c r="AW53" s="27" t="inlineStr">
        <is>
          <t>No</t>
        </is>
      </c>
      <c r="AX53" s="35" t="n">
        <v>0.433</v>
      </c>
      <c r="AY53" s="31" t="n">
        <v>996.62</v>
      </c>
      <c r="AZ53" s="31" t="n">
        <v>34.34</v>
      </c>
      <c r="BA53" s="34" t="n">
        <v>3.331</v>
      </c>
      <c r="BB53" s="36" t="n">
        <v>-1</v>
      </c>
      <c r="BC53" s="27" t="inlineStr">
        <is>
          <t>ticks</t>
        </is>
      </c>
      <c r="BD53" s="24" t="n">
        <v>579</v>
      </c>
      <c r="BE53" s="24" t="n">
        <v>9</v>
      </c>
      <c r="BF53" s="27" t="inlineStr">
        <is>
          <t>3214929/DAXEUR/2026-08-03_56847975_DAXEUR_buy_loss</t>
        </is>
      </c>
      <c r="BG53" s="27" t="n"/>
    </row>
    <row r="54" ht="16" customHeight="1">
      <c r="A54" s="24" t="n">
        <v>53</v>
      </c>
      <c r="B54" s="26" t="n">
        <v>56851593</v>
      </c>
      <c r="C54" s="27" t="inlineStr">
        <is>
          <t>DAXEUR</t>
        </is>
      </c>
      <c r="D54" s="27" t="inlineStr">
        <is>
          <t>buy</t>
        </is>
      </c>
      <c r="E54" s="28" t="n">
        <v>0.04</v>
      </c>
      <c r="F54" s="29" t="n">
        <v>46237.32248137731</v>
      </c>
      <c r="G54" s="29" t="n">
        <v>46237.33083438657</v>
      </c>
      <c r="H54" s="27" t="inlineStr">
        <is>
          <t>Monday</t>
        </is>
      </c>
      <c r="I54" s="26" t="n">
        <v>7</v>
      </c>
      <c r="J54" s="27" t="inlineStr">
        <is>
          <t>Asia</t>
        </is>
      </c>
      <c r="K54" s="27" t="inlineStr">
        <is>
          <t>2026-W32</t>
        </is>
      </c>
      <c r="L54" s="27" t="inlineStr">
        <is>
          <t>2026-08</t>
        </is>
      </c>
      <c r="M54" s="27" t="inlineStr">
        <is>
          <t>12m 02s</t>
        </is>
      </c>
      <c r="N54" s="30" t="n">
        <v>721.7000000476837</v>
      </c>
      <c r="O54" s="28" t="n">
        <v>12.028</v>
      </c>
      <c r="P54" s="27" t="inlineStr">
        <is>
          <t>C. 5-15 min</t>
        </is>
      </c>
      <c r="Q54" s="28" t="n">
        <v>25949.73</v>
      </c>
      <c r="R54" s="28" t="n">
        <v>25980.88</v>
      </c>
      <c r="S54" s="28" t="n">
        <v>25939.53</v>
      </c>
      <c r="T54" s="28" t="n">
        <v>25962</v>
      </c>
      <c r="U54" s="28" t="n">
        <v>25939.53</v>
      </c>
      <c r="V54" s="27" t="inlineStr">
        <is>
          <t>Unchanged</t>
        </is>
      </c>
      <c r="W54" s="30" t="n">
        <v>0</v>
      </c>
      <c r="X54" s="31" t="n">
        <v>4.71</v>
      </c>
      <c r="Y54" s="28" t="n">
        <v>1.202</v>
      </c>
      <c r="Z54" s="32" t="n">
        <v>3.049</v>
      </c>
      <c r="AA54" s="27" t="inlineStr">
        <is>
          <t>J. &gt;= 3R</t>
        </is>
      </c>
      <c r="AB54" s="31" t="n">
        <v>14.36</v>
      </c>
      <c r="AC54" s="31" t="n">
        <v>0</v>
      </c>
      <c r="AD54" s="33" t="n">
        <v>14.36</v>
      </c>
      <c r="AE54" s="27" t="inlineStr">
        <is>
          <t>Win</t>
        </is>
      </c>
      <c r="AF54" s="27" t="inlineStr">
        <is>
          <t>Take Profit</t>
        </is>
      </c>
      <c r="AG54" s="30" t="n">
        <v>3115</v>
      </c>
      <c r="AH54" s="31" t="n">
        <v>14.37</v>
      </c>
      <c r="AI54" s="31" t="n">
        <v>-2.42</v>
      </c>
      <c r="AJ54" s="28" t="n">
        <v>3.051</v>
      </c>
      <c r="AK54" s="28" t="n">
        <v>-0.514</v>
      </c>
      <c r="AL54" s="28" t="n">
        <v>25980.88</v>
      </c>
      <c r="AM54" s="28" t="n">
        <v>25944.48</v>
      </c>
      <c r="AN54" s="27" t="inlineStr">
        <is>
          <t>12m 01s</t>
        </is>
      </c>
      <c r="AO54" s="27" t="inlineStr">
        <is>
          <t>1m 11s</t>
        </is>
      </c>
      <c r="AP54" s="34" t="n">
        <v>51.4</v>
      </c>
      <c r="AQ54" s="28" t="n">
        <v>0.999</v>
      </c>
      <c r="AR54" s="31" t="n">
        <v>0.01</v>
      </c>
      <c r="AS54" s="28" t="n">
        <v>0.8558</v>
      </c>
      <c r="AT54" s="28" t="n">
        <v>1</v>
      </c>
      <c r="AU54" s="28" t="n">
        <v>0.8558</v>
      </c>
      <c r="AV54" s="27" t="inlineStr">
        <is>
          <t>No</t>
        </is>
      </c>
      <c r="AW54" s="27" t="inlineStr">
        <is>
          <t>No</t>
        </is>
      </c>
      <c r="AX54" s="35" t="n">
        <v>0.473</v>
      </c>
      <c r="AY54" s="31" t="n">
        <v>1010.98</v>
      </c>
      <c r="AZ54" s="31" t="n">
        <v>19.98</v>
      </c>
      <c r="BA54" s="34" t="n">
        <v>1.938</v>
      </c>
      <c r="BB54" s="36" t="n">
        <v>1</v>
      </c>
      <c r="BC54" s="27" t="inlineStr">
        <is>
          <t>ticks</t>
        </is>
      </c>
      <c r="BD54" s="24" t="n">
        <v>1061</v>
      </c>
      <c r="BE54" s="24" t="n">
        <v>9</v>
      </c>
      <c r="BF54" s="27" t="inlineStr">
        <is>
          <t>3214929/DAXEUR/2026-08-03_56851593_DAXEUR_buy_win</t>
        </is>
      </c>
      <c r="BG54" s="27" t="n"/>
    </row>
    <row r="55" ht="16" customHeight="1">
      <c r="A55" s="24" t="n">
        <v>54</v>
      </c>
      <c r="B55" s="26" t="n">
        <v>56856761</v>
      </c>
      <c r="C55" s="27" t="inlineStr">
        <is>
          <t>DAXEUR</t>
        </is>
      </c>
      <c r="D55" s="27" t="inlineStr">
        <is>
          <t>sell</t>
        </is>
      </c>
      <c r="E55" s="28" t="n">
        <v>0.02</v>
      </c>
      <c r="F55" s="29" t="n">
        <v>46237.33551960648</v>
      </c>
      <c r="G55" s="29" t="n">
        <v>46237.34396055555</v>
      </c>
      <c r="H55" s="27" t="inlineStr">
        <is>
          <t>Monday</t>
        </is>
      </c>
      <c r="I55" s="26" t="n">
        <v>8</v>
      </c>
      <c r="J55" s="27" t="inlineStr">
        <is>
          <t>London</t>
        </is>
      </c>
      <c r="K55" s="27" t="inlineStr">
        <is>
          <t>2026-W32</t>
        </is>
      </c>
      <c r="L55" s="27" t="inlineStr">
        <is>
          <t>2026-08</t>
        </is>
      </c>
      <c r="M55" s="27" t="inlineStr">
        <is>
          <t>12m 09s</t>
        </is>
      </c>
      <c r="N55" s="30" t="n">
        <v>729.2979998588562</v>
      </c>
      <c r="O55" s="28" t="n">
        <v>12.155</v>
      </c>
      <c r="P55" s="27" t="inlineStr">
        <is>
          <t>C. 5-15 min</t>
        </is>
      </c>
      <c r="Q55" s="28" t="n">
        <v>25986.38</v>
      </c>
      <c r="R55" s="28" t="n">
        <v>26006.68</v>
      </c>
      <c r="S55" s="28" t="n">
        <v>26006.36</v>
      </c>
      <c r="T55" s="28" t="n">
        <v>25961.92</v>
      </c>
      <c r="U55" s="28" t="n">
        <v>26006.36</v>
      </c>
      <c r="V55" s="27" t="inlineStr">
        <is>
          <t>Unchanged</t>
        </is>
      </c>
      <c r="W55" s="30" t="n">
        <v>0</v>
      </c>
      <c r="X55" s="31" t="n">
        <v>4.61</v>
      </c>
      <c r="Y55" s="28" t="n">
        <v>1.223</v>
      </c>
      <c r="Z55" s="32" t="n">
        <v>-1.015</v>
      </c>
      <c r="AA55" s="27" t="inlineStr">
        <is>
          <t>B. -1.5R..-1R</t>
        </is>
      </c>
      <c r="AB55" s="31" t="n">
        <v>-4.68</v>
      </c>
      <c r="AC55" s="31" t="n">
        <v>0</v>
      </c>
      <c r="AD55" s="33" t="n">
        <v>-4.68</v>
      </c>
      <c r="AE55" s="27" t="inlineStr">
        <is>
          <t>Loss</t>
        </is>
      </c>
      <c r="AF55" s="27" t="inlineStr">
        <is>
          <t>Stop Loss</t>
        </is>
      </c>
      <c r="AG55" s="30" t="n">
        <v>-2030</v>
      </c>
      <c r="AH55" s="31" t="n">
        <v>5.01</v>
      </c>
      <c r="AI55" s="31" t="n">
        <v>-4.68</v>
      </c>
      <c r="AJ55" s="28" t="n">
        <v>1.087</v>
      </c>
      <c r="AK55" s="28" t="n">
        <v>-1.015</v>
      </c>
      <c r="AL55" s="28" t="n">
        <v>25964.68</v>
      </c>
      <c r="AM55" s="28" t="n">
        <v>26006.68</v>
      </c>
      <c r="AN55" s="27" t="inlineStr">
        <is>
          <t>3m 22s</t>
        </is>
      </c>
      <c r="AO55" s="27" t="inlineStr">
        <is>
          <t>12m 09s</t>
        </is>
      </c>
      <c r="AP55" s="34" t="n">
        <v>101.5</v>
      </c>
      <c r="AQ55" s="28" t="n">
        <v>-0.9340000000000001</v>
      </c>
      <c r="AR55" s="31" t="n">
        <v>9.69</v>
      </c>
      <c r="AS55" s="28" t="n">
        <v>0.5167</v>
      </c>
      <c r="AT55" s="28" t="n">
        <v>0</v>
      </c>
      <c r="AU55" s="28" t="n">
        <v>-0.4833</v>
      </c>
      <c r="AV55" s="27" t="inlineStr">
        <is>
          <t>Yes</t>
        </is>
      </c>
      <c r="AW55" s="27" t="inlineStr">
        <is>
          <t>No</t>
        </is>
      </c>
      <c r="AX55" s="35" t="n">
        <v>0.456</v>
      </c>
      <c r="AY55" s="31" t="n">
        <v>1006.3</v>
      </c>
      <c r="AZ55" s="31" t="n">
        <v>24.66</v>
      </c>
      <c r="BA55" s="34" t="n">
        <v>2.392</v>
      </c>
      <c r="BB55" s="36" t="n">
        <v>-1</v>
      </c>
      <c r="BC55" s="27" t="inlineStr">
        <is>
          <t>ticks</t>
        </is>
      </c>
      <c r="BD55" s="24" t="n">
        <v>1013</v>
      </c>
      <c r="BE55" s="24" t="n">
        <v>9</v>
      </c>
      <c r="BF55" s="27" t="inlineStr">
        <is>
          <t>3214929/DAXEUR/2026-08-03_56856761_DAXEUR_sell_loss</t>
        </is>
      </c>
      <c r="BG55" s="27" t="n"/>
    </row>
    <row r="56" ht="16" customHeight="1">
      <c r="A56" s="24" t="n">
        <v>55</v>
      </c>
      <c r="B56" s="26" t="n">
        <v>56869455</v>
      </c>
      <c r="C56" s="27" t="inlineStr">
        <is>
          <t>XAUUSD</t>
        </is>
      </c>
      <c r="D56" s="27" t="inlineStr">
        <is>
          <t>sell</t>
        </is>
      </c>
      <c r="E56" s="28" t="n">
        <v>0.01</v>
      </c>
      <c r="F56" s="29" t="n">
        <v>46237.36808347223</v>
      </c>
      <c r="G56" s="29" t="n">
        <v>46237.37468445602</v>
      </c>
      <c r="H56" s="27" t="inlineStr">
        <is>
          <t>Monday</t>
        </is>
      </c>
      <c r="I56" s="26" t="n">
        <v>8</v>
      </c>
      <c r="J56" s="27" t="inlineStr">
        <is>
          <t>London</t>
        </is>
      </c>
      <c r="K56" s="27" t="inlineStr">
        <is>
          <t>2026-W32</t>
        </is>
      </c>
      <c r="L56" s="27" t="inlineStr">
        <is>
          <t>2026-08</t>
        </is>
      </c>
      <c r="M56" s="27" t="inlineStr">
        <is>
          <t>9m 30s</t>
        </is>
      </c>
      <c r="N56" s="30" t="n">
        <v>570.3250000476837</v>
      </c>
      <c r="O56" s="28" t="n">
        <v>9.505000000000001</v>
      </c>
      <c r="P56" s="27" t="inlineStr">
        <is>
          <t>C. 5-15 min</t>
        </is>
      </c>
      <c r="Q56" s="28" t="n">
        <v>4059.559999999999</v>
      </c>
      <c r="R56" s="28" t="n">
        <v>4059.52</v>
      </c>
      <c r="S56" s="28" t="n">
        <v>4062.11</v>
      </c>
      <c r="T56" s="28" t="n">
        <v>4056.83</v>
      </c>
      <c r="U56" s="28" t="n">
        <v>4059.51</v>
      </c>
      <c r="V56" s="27" t="inlineStr">
        <is>
          <t>Tightened</t>
        </is>
      </c>
      <c r="W56" s="30" t="n">
        <v>250</v>
      </c>
      <c r="X56" s="31" t="n">
        <v>2.55</v>
      </c>
      <c r="Y56" s="28" t="n">
        <v>1.071</v>
      </c>
      <c r="Z56" s="32" t="n">
        <v>-0.004</v>
      </c>
      <c r="AA56" s="27" t="inlineStr">
        <is>
          <t>D. -0.5R..0</t>
        </is>
      </c>
      <c r="AB56" s="31" t="n">
        <v>0.04</v>
      </c>
      <c r="AC56" s="31" t="n">
        <v>-0.05</v>
      </c>
      <c r="AD56" s="33" t="n">
        <v>-0.01</v>
      </c>
      <c r="AE56" s="27" t="inlineStr">
        <is>
          <t>Loss</t>
        </is>
      </c>
      <c r="AF56" s="27" t="inlineStr">
        <is>
          <t>Stop Loss</t>
        </is>
      </c>
      <c r="AG56" s="30" t="n">
        <v>4</v>
      </c>
      <c r="AH56" s="31" t="n">
        <v>1.56</v>
      </c>
      <c r="AI56" s="31" t="n">
        <v>-1.6</v>
      </c>
      <c r="AJ56" s="28" t="n">
        <v>0.612</v>
      </c>
      <c r="AK56" s="28" t="n">
        <v>-0.627</v>
      </c>
      <c r="AL56" s="28" t="n">
        <v>4058</v>
      </c>
      <c r="AM56" s="28" t="n">
        <v>4061.16</v>
      </c>
      <c r="AN56" s="27" t="inlineStr">
        <is>
          <t>3m 28s</t>
        </is>
      </c>
      <c r="AO56" s="27" t="inlineStr">
        <is>
          <t>5m 46s</t>
        </is>
      </c>
      <c r="AP56" s="34" t="n">
        <v>62.7</v>
      </c>
      <c r="AQ56" s="28" t="n">
        <v>-0.006</v>
      </c>
      <c r="AR56" s="31" t="n">
        <v>1.57</v>
      </c>
      <c r="AS56" s="28" t="n">
        <v>0.4937</v>
      </c>
      <c r="AT56" s="28" t="n">
        <v>0.519</v>
      </c>
      <c r="AU56" s="28" t="n">
        <v>0.0127</v>
      </c>
      <c r="AV56" s="27" t="inlineStr">
        <is>
          <t>Yes</t>
        </is>
      </c>
      <c r="AW56" s="27" t="inlineStr">
        <is>
          <t>No</t>
        </is>
      </c>
      <c r="AX56" s="35" t="n">
        <v>0.253</v>
      </c>
      <c r="AY56" s="31" t="n">
        <v>1006.29</v>
      </c>
      <c r="AZ56" s="31" t="n">
        <v>24.67</v>
      </c>
      <c r="BA56" s="34" t="n">
        <v>2.393</v>
      </c>
      <c r="BB56" s="36" t="n">
        <v>-2</v>
      </c>
      <c r="BC56" s="27" t="inlineStr">
        <is>
          <t>ticks</t>
        </is>
      </c>
      <c r="BD56" s="24" t="n">
        <v>785</v>
      </c>
      <c r="BE56" s="24" t="n">
        <v>9</v>
      </c>
      <c r="BF56" s="27" t="inlineStr">
        <is>
          <t>3214929/XAUUSD/2026-08-03_56869455_XAUUSD_sell_loss</t>
        </is>
      </c>
      <c r="BG56" s="27" t="n"/>
    </row>
    <row r="57" ht="16" customHeight="1">
      <c r="A57" s="24" t="n">
        <v>56</v>
      </c>
      <c r="B57" s="26" t="n">
        <v>56869513</v>
      </c>
      <c r="C57" s="27" t="inlineStr">
        <is>
          <t>XAUUSD</t>
        </is>
      </c>
      <c r="D57" s="27" t="inlineStr">
        <is>
          <t>sell</t>
        </is>
      </c>
      <c r="E57" s="28" t="n">
        <v>0.03</v>
      </c>
      <c r="F57" s="29" t="n">
        <v>46237.3683419213</v>
      </c>
      <c r="G57" s="29" t="n">
        <v>46237.39242582176</v>
      </c>
      <c r="H57" s="27" t="inlineStr">
        <is>
          <t>Monday</t>
        </is>
      </c>
      <c r="I57" s="26" t="n">
        <v>8</v>
      </c>
      <c r="J57" s="27" t="inlineStr">
        <is>
          <t>London</t>
        </is>
      </c>
      <c r="K57" s="27" t="inlineStr">
        <is>
          <t>2026-W32</t>
        </is>
      </c>
      <c r="L57" s="27" t="inlineStr">
        <is>
          <t>2026-08</t>
        </is>
      </c>
      <c r="M57" s="27" t="inlineStr">
        <is>
          <t>34m 41s</t>
        </is>
      </c>
      <c r="N57" s="30" t="n">
        <v>2080.848999977112</v>
      </c>
      <c r="O57" s="28" t="n">
        <v>34.681</v>
      </c>
      <c r="P57" s="27" t="inlineStr">
        <is>
          <t>E. 30-60 min</t>
        </is>
      </c>
      <c r="Q57" s="28" t="n">
        <v>4059.56</v>
      </c>
      <c r="R57" s="28" t="n">
        <v>4056.04</v>
      </c>
      <c r="S57" s="28" t="n">
        <v>4062.84</v>
      </c>
      <c r="T57" s="28" t="n">
        <v>4056.2</v>
      </c>
      <c r="U57" s="28" t="n">
        <v>4056.04</v>
      </c>
      <c r="V57" s="27" t="inlineStr">
        <is>
          <t>Widened</t>
        </is>
      </c>
      <c r="W57" s="30" t="n">
        <v>-24</v>
      </c>
      <c r="X57" s="31" t="n">
        <v>9.84</v>
      </c>
      <c r="Y57" s="28" t="n">
        <v>1.024</v>
      </c>
      <c r="Z57" s="32" t="n">
        <v>1.059</v>
      </c>
      <c r="AA57" s="27" t="inlineStr">
        <is>
          <t>H. 1R..2R</t>
        </is>
      </c>
      <c r="AB57" s="31" t="n">
        <v>10.56</v>
      </c>
      <c r="AC57" s="31" t="n">
        <v>-0.14</v>
      </c>
      <c r="AD57" s="33" t="n">
        <v>10.42</v>
      </c>
      <c r="AE57" s="27" t="inlineStr">
        <is>
          <t>Win</t>
        </is>
      </c>
      <c r="AF57" s="27" t="inlineStr">
        <is>
          <t>Stop Loss</t>
        </is>
      </c>
      <c r="AG57" s="30" t="n">
        <v>352</v>
      </c>
      <c r="AH57" s="31" t="n">
        <v>19.59</v>
      </c>
      <c r="AI57" s="31" t="n">
        <v>-8.609999999999999</v>
      </c>
      <c r="AJ57" s="28" t="n">
        <v>1.991</v>
      </c>
      <c r="AK57" s="28" t="n">
        <v>-0.875</v>
      </c>
      <c r="AL57" s="28" t="n">
        <v>4053.03</v>
      </c>
      <c r="AM57" s="28" t="n">
        <v>4062.43</v>
      </c>
      <c r="AN57" s="27" t="inlineStr">
        <is>
          <t>33m 36s</t>
        </is>
      </c>
      <c r="AO57" s="27" t="inlineStr">
        <is>
          <t>23m 22s</t>
        </is>
      </c>
      <c r="AP57" s="34" t="n">
        <v>87.5</v>
      </c>
      <c r="AQ57" s="28" t="n">
        <v>0.532</v>
      </c>
      <c r="AR57" s="31" t="n">
        <v>9.17</v>
      </c>
      <c r="AS57" s="28" t="n">
        <v>0.6947</v>
      </c>
      <c r="AT57" s="28" t="n">
        <v>0.6798</v>
      </c>
      <c r="AU57" s="28" t="n">
        <v>0.3745</v>
      </c>
      <c r="AV57" s="27" t="inlineStr">
        <is>
          <t>No</t>
        </is>
      </c>
      <c r="AW57" s="27" t="inlineStr">
        <is>
          <t>No</t>
        </is>
      </c>
      <c r="AX57" s="35" t="n">
        <v>0.978</v>
      </c>
      <c r="AY57" s="31" t="n">
        <v>1016.71</v>
      </c>
      <c r="AZ57" s="31" t="n">
        <v>14.25</v>
      </c>
      <c r="BA57" s="34" t="n">
        <v>1.382</v>
      </c>
      <c r="BB57" s="36" t="n">
        <v>1</v>
      </c>
      <c r="BC57" s="27" t="inlineStr">
        <is>
          <t>ticks</t>
        </is>
      </c>
      <c r="BD57" s="24" t="n">
        <v>3044</v>
      </c>
      <c r="BE57" s="24" t="n">
        <v>9</v>
      </c>
      <c r="BF57" s="27" t="inlineStr">
        <is>
          <t>3214929/XAUUSD/2026-08-03_56869513_XAUUSD_sell_win</t>
        </is>
      </c>
      <c r="BG57" s="27" t="n"/>
    </row>
    <row r="58" ht="16" customHeight="1">
      <c r="A58" s="24" t="n">
        <v>57</v>
      </c>
      <c r="B58" s="26" t="n">
        <v>56871255</v>
      </c>
      <c r="C58" s="27" t="inlineStr">
        <is>
          <t>DAXEUR</t>
        </is>
      </c>
      <c r="D58" s="27" t="inlineStr">
        <is>
          <t>sell</t>
        </is>
      </c>
      <c r="E58" s="28" t="n">
        <v>0.04</v>
      </c>
      <c r="F58" s="29" t="n">
        <v>46237.37464684028</v>
      </c>
      <c r="G58" s="29" t="n">
        <v>46237.39614690972</v>
      </c>
      <c r="H58" s="27" t="inlineStr">
        <is>
          <t>Monday</t>
        </is>
      </c>
      <c r="I58" s="26" t="n">
        <v>8</v>
      </c>
      <c r="J58" s="27" t="inlineStr">
        <is>
          <t>London</t>
        </is>
      </c>
      <c r="K58" s="27" t="inlineStr">
        <is>
          <t>2026-W32</t>
        </is>
      </c>
      <c r="L58" s="27" t="inlineStr">
        <is>
          <t>2026-08</t>
        </is>
      </c>
      <c r="M58" s="27" t="inlineStr">
        <is>
          <t>30m 58s</t>
        </is>
      </c>
      <c r="N58" s="30" t="n">
        <v>1857.605999946594</v>
      </c>
      <c r="O58" s="28" t="n">
        <v>30.96</v>
      </c>
      <c r="P58" s="27" t="inlineStr">
        <is>
          <t>E. 30-60 min</t>
        </is>
      </c>
      <c r="Q58" s="28" t="n">
        <v>26003.93</v>
      </c>
      <c r="R58" s="28" t="n">
        <v>26009.68</v>
      </c>
      <c r="S58" s="28" t="n">
        <v>26021.79</v>
      </c>
      <c r="T58" s="28" t="n">
        <v>25984.28</v>
      </c>
      <c r="U58" s="28" t="n">
        <v>26009.37</v>
      </c>
      <c r="V58" s="27" t="inlineStr">
        <is>
          <t>Tightened</t>
        </is>
      </c>
      <c r="W58" s="30" t="n">
        <v>1242</v>
      </c>
      <c r="X58" s="31" t="n">
        <v>8.24</v>
      </c>
      <c r="Y58" s="28" t="n">
        <v>1.101</v>
      </c>
      <c r="Z58" s="32" t="n">
        <v>-0.322</v>
      </c>
      <c r="AA58" s="27" t="inlineStr">
        <is>
          <t>D. -0.5R..0</t>
        </is>
      </c>
      <c r="AB58" s="31" t="n">
        <v>-2.65</v>
      </c>
      <c r="AC58" s="31" t="n">
        <v>0</v>
      </c>
      <c r="AD58" s="33" t="n">
        <v>-2.65</v>
      </c>
      <c r="AE58" s="27" t="inlineStr">
        <is>
          <t>Loss</t>
        </is>
      </c>
      <c r="AF58" s="27" t="inlineStr">
        <is>
          <t>Stop Loss</t>
        </is>
      </c>
      <c r="AG58" s="30" t="n">
        <v>-575</v>
      </c>
      <c r="AH58" s="31" t="n">
        <v>6.58</v>
      </c>
      <c r="AI58" s="31" t="n">
        <v>-6.11</v>
      </c>
      <c r="AJ58" s="28" t="n">
        <v>0.799</v>
      </c>
      <c r="AK58" s="28" t="n">
        <v>-0.742</v>
      </c>
      <c r="AL58" s="28" t="n">
        <v>25989.68</v>
      </c>
      <c r="AM58" s="28" t="n">
        <v>26017.18</v>
      </c>
      <c r="AN58" s="27" t="inlineStr">
        <is>
          <t>26m 45s</t>
        </is>
      </c>
      <c r="AO58" s="27" t="inlineStr">
        <is>
          <t>40s</t>
        </is>
      </c>
      <c r="AP58" s="34" t="n">
        <v>74.2</v>
      </c>
      <c r="AQ58" s="28" t="n">
        <v>-0.403</v>
      </c>
      <c r="AR58" s="31" t="n">
        <v>9.23</v>
      </c>
      <c r="AS58" s="28" t="n">
        <v>0.5182</v>
      </c>
      <c r="AT58" s="28" t="n">
        <v>0.2727</v>
      </c>
      <c r="AU58" s="28" t="n">
        <v>-0.2091</v>
      </c>
      <c r="AV58" s="27" t="inlineStr">
        <is>
          <t>No</t>
        </is>
      </c>
      <c r="AW58" s="27" t="inlineStr">
        <is>
          <t>No</t>
        </is>
      </c>
      <c r="AX58" s="35" t="n">
        <v>0.8100000000000001</v>
      </c>
      <c r="AY58" s="31" t="n">
        <v>1014.06</v>
      </c>
      <c r="AZ58" s="31" t="n">
        <v>16.9</v>
      </c>
      <c r="BA58" s="34" t="n">
        <v>1.639</v>
      </c>
      <c r="BB58" s="36" t="n">
        <v>-1</v>
      </c>
      <c r="BC58" s="27" t="inlineStr">
        <is>
          <t>ticks</t>
        </is>
      </c>
      <c r="BD58" s="24" t="n">
        <v>2118</v>
      </c>
      <c r="BE58" s="24" t="n">
        <v>9</v>
      </c>
      <c r="BF58" s="27" t="inlineStr">
        <is>
          <t>3214929/DAXEUR/2026-08-03_56871255_DAXEUR_sell_loss</t>
        </is>
      </c>
      <c r="BG58" s="27" t="n"/>
    </row>
    <row r="59" ht="16" customHeight="1">
      <c r="A59" s="24" t="n">
        <v>58</v>
      </c>
      <c r="B59" s="26" t="n">
        <v>56887531</v>
      </c>
      <c r="C59" s="27" t="inlineStr">
        <is>
          <t>DAXEUR</t>
        </is>
      </c>
      <c r="D59" s="27" t="inlineStr">
        <is>
          <t>sell</t>
        </is>
      </c>
      <c r="E59" s="28" t="n">
        <v>0.03</v>
      </c>
      <c r="F59" s="29" t="n">
        <v>46237.40921811343</v>
      </c>
      <c r="G59" s="29" t="n">
        <v>46237.41582741898</v>
      </c>
      <c r="H59" s="27" t="inlineStr">
        <is>
          <t>Monday</t>
        </is>
      </c>
      <c r="I59" s="26" t="n">
        <v>9</v>
      </c>
      <c r="J59" s="27" t="inlineStr">
        <is>
          <t>London</t>
        </is>
      </c>
      <c r="K59" s="27" t="inlineStr">
        <is>
          <t>2026-W32</t>
        </is>
      </c>
      <c r="L59" s="27" t="inlineStr">
        <is>
          <t>2026-08</t>
        </is>
      </c>
      <c r="M59" s="27" t="inlineStr">
        <is>
          <t>9m 31s</t>
        </is>
      </c>
      <c r="N59" s="30" t="n">
        <v>571.0440001487732</v>
      </c>
      <c r="O59" s="28" t="n">
        <v>9.516999999999999</v>
      </c>
      <c r="P59" s="27" t="inlineStr">
        <is>
          <t>C. 5-15 min</t>
        </is>
      </c>
      <c r="Q59" s="28" t="n">
        <v>26035.93</v>
      </c>
      <c r="R59" s="28" t="n">
        <v>25997.68</v>
      </c>
      <c r="S59" s="28" t="n">
        <v>26047.39</v>
      </c>
      <c r="T59" s="28" t="n">
        <v>26023.32</v>
      </c>
      <c r="U59" s="28" t="n">
        <v>26047.39</v>
      </c>
      <c r="V59" s="27" t="inlineStr">
        <is>
          <t>Unchanged</t>
        </is>
      </c>
      <c r="W59" s="30" t="n">
        <v>0</v>
      </c>
      <c r="X59" s="31" t="n">
        <v>3.97</v>
      </c>
      <c r="Y59" s="28" t="n">
        <v>1.098</v>
      </c>
      <c r="Z59" s="32" t="n">
        <v>3.332</v>
      </c>
      <c r="AA59" s="27" t="inlineStr">
        <is>
          <t>J. &gt;= 3R</t>
        </is>
      </c>
      <c r="AB59" s="31" t="n">
        <v>13.23</v>
      </c>
      <c r="AC59" s="31" t="n">
        <v>0</v>
      </c>
      <c r="AD59" s="33" t="n">
        <v>13.23</v>
      </c>
      <c r="AE59" s="27" t="inlineStr">
        <is>
          <t>Win</t>
        </is>
      </c>
      <c r="AF59" s="27" t="inlineStr">
        <is>
          <t>Take Profit</t>
        </is>
      </c>
      <c r="AG59" s="30" t="n">
        <v>3825</v>
      </c>
      <c r="AH59" s="31" t="n">
        <v>13.24</v>
      </c>
      <c r="AI59" s="31" t="n">
        <v>-0.78</v>
      </c>
      <c r="AJ59" s="28" t="n">
        <v>3.335</v>
      </c>
      <c r="AK59" s="28" t="n">
        <v>-0.196</v>
      </c>
      <c r="AL59" s="28" t="n">
        <v>25997.68</v>
      </c>
      <c r="AM59" s="28" t="n">
        <v>26038.18</v>
      </c>
      <c r="AN59" s="27" t="inlineStr">
        <is>
          <t>9m 31s</t>
        </is>
      </c>
      <c r="AO59" s="27" t="inlineStr">
        <is>
          <t>2.6s</t>
        </is>
      </c>
      <c r="AP59" s="34" t="n">
        <v>19.6</v>
      </c>
      <c r="AQ59" s="28" t="n">
        <v>0.999</v>
      </c>
      <c r="AR59" s="31" t="n">
        <v>0.01</v>
      </c>
      <c r="AS59" s="28" t="n">
        <v>0.9444</v>
      </c>
      <c r="AT59" s="28" t="n">
        <v>1</v>
      </c>
      <c r="AU59" s="28" t="n">
        <v>0.9444</v>
      </c>
      <c r="AV59" s="27" t="inlineStr">
        <is>
          <t>No</t>
        </is>
      </c>
      <c r="AW59" s="27" t="inlineStr">
        <is>
          <t>No</t>
        </is>
      </c>
      <c r="AX59" s="35" t="n">
        <v>0.391</v>
      </c>
      <c r="AY59" s="31" t="n">
        <v>1027.29</v>
      </c>
      <c r="AZ59" s="31" t="n">
        <v>3.67</v>
      </c>
      <c r="BA59" s="34" t="n">
        <v>0.356</v>
      </c>
      <c r="BB59" s="36" t="n">
        <v>1</v>
      </c>
      <c r="BC59" s="27" t="inlineStr">
        <is>
          <t>ticks</t>
        </is>
      </c>
      <c r="BD59" s="24" t="n">
        <v>604</v>
      </c>
      <c r="BE59" s="24" t="n">
        <v>9</v>
      </c>
      <c r="BF59" s="27" t="inlineStr">
        <is>
          <t>3214929/DAXEUR/2026-08-03_56887531_DAXEUR_sell_win</t>
        </is>
      </c>
      <c r="BG59" s="27" t="n"/>
    </row>
    <row r="60" ht="16" customHeight="1">
      <c r="A60" s="24" t="n">
        <v>59</v>
      </c>
      <c r="B60" s="26" t="n">
        <v>56885565</v>
      </c>
      <c r="C60" s="27" t="inlineStr">
        <is>
          <t>DAXEUR</t>
        </is>
      </c>
      <c r="D60" s="27" t="inlineStr">
        <is>
          <t>sell</t>
        </is>
      </c>
      <c r="E60" s="28" t="n">
        <v>0.04</v>
      </c>
      <c r="F60" s="29" t="n">
        <v>46237.40835180556</v>
      </c>
      <c r="G60" s="29" t="n">
        <v>46237.42387848379</v>
      </c>
      <c r="H60" s="27" t="inlineStr">
        <is>
          <t>Monday</t>
        </is>
      </c>
      <c r="I60" s="26" t="n">
        <v>9</v>
      </c>
      <c r="J60" s="27" t="inlineStr">
        <is>
          <t>London</t>
        </is>
      </c>
      <c r="K60" s="27" t="inlineStr">
        <is>
          <t>2026-W32</t>
        </is>
      </c>
      <c r="L60" s="27" t="inlineStr">
        <is>
          <t>2026-08</t>
        </is>
      </c>
      <c r="M60" s="27" t="inlineStr">
        <is>
          <t>22m 22s</t>
        </is>
      </c>
      <c r="N60" s="30" t="n">
        <v>1341.505000114441</v>
      </c>
      <c r="O60" s="28" t="n">
        <v>22.358</v>
      </c>
      <c r="P60" s="27" t="inlineStr">
        <is>
          <t>D. 15-30 min</t>
        </is>
      </c>
      <c r="Q60" s="28" t="n">
        <v>26029.43</v>
      </c>
      <c r="R60" s="28" t="n">
        <v>25985.18</v>
      </c>
      <c r="S60" s="28" t="n">
        <v>26042.3</v>
      </c>
      <c r="T60" s="28" t="n">
        <v>26003.97</v>
      </c>
      <c r="U60" s="28" t="n">
        <v>26042.3</v>
      </c>
      <c r="V60" s="27" t="inlineStr">
        <is>
          <t>Unchanged</t>
        </is>
      </c>
      <c r="W60" s="30" t="n">
        <v>0</v>
      </c>
      <c r="X60" s="31" t="n">
        <v>5.94</v>
      </c>
      <c r="Y60" s="28" t="n">
        <v>1.976</v>
      </c>
      <c r="Z60" s="32" t="n">
        <v>3.433</v>
      </c>
      <c r="AA60" s="27" t="inlineStr">
        <is>
          <t>J. &gt;= 3R</t>
        </is>
      </c>
      <c r="AB60" s="31" t="n">
        <v>20.39</v>
      </c>
      <c r="AC60" s="31" t="n">
        <v>0</v>
      </c>
      <c r="AD60" s="33" t="n">
        <v>20.39</v>
      </c>
      <c r="AE60" s="27" t="inlineStr">
        <is>
          <t>Win</t>
        </is>
      </c>
      <c r="AF60" s="27" t="inlineStr">
        <is>
          <t>Take Profit</t>
        </is>
      </c>
      <c r="AG60" s="30" t="n">
        <v>4425</v>
      </c>
      <c r="AH60" s="31" t="n">
        <v>20.65</v>
      </c>
      <c r="AI60" s="31" t="n">
        <v>-4.04</v>
      </c>
      <c r="AJ60" s="28" t="n">
        <v>3.476</v>
      </c>
      <c r="AK60" s="28" t="n">
        <v>-0.68</v>
      </c>
      <c r="AL60" s="28" t="n">
        <v>25984.68</v>
      </c>
      <c r="AM60" s="28" t="n">
        <v>26038.18</v>
      </c>
      <c r="AN60" s="27" t="inlineStr">
        <is>
          <t>15m 18s</t>
        </is>
      </c>
      <c r="AO60" s="27" t="inlineStr">
        <is>
          <t>57s</t>
        </is>
      </c>
      <c r="AP60" s="34" t="n">
        <v>68</v>
      </c>
      <c r="AQ60" s="28" t="n">
        <v>0.987</v>
      </c>
      <c r="AR60" s="31" t="n">
        <v>0.26</v>
      </c>
      <c r="AS60" s="28" t="n">
        <v>0.8364</v>
      </c>
      <c r="AT60" s="28" t="n">
        <v>0.9907</v>
      </c>
      <c r="AU60" s="28" t="n">
        <v>0.8270999999999999</v>
      </c>
      <c r="AV60" s="27" t="inlineStr">
        <is>
          <t>No</t>
        </is>
      </c>
      <c r="AW60" s="27" t="inlineStr">
        <is>
          <t>No</t>
        </is>
      </c>
      <c r="AX60" s="35" t="n">
        <v>0.578</v>
      </c>
      <c r="AY60" s="31" t="n">
        <v>1047.68</v>
      </c>
      <c r="AZ60" s="31" t="n">
        <v>0</v>
      </c>
      <c r="BA60" s="34" t="n">
        <v>0</v>
      </c>
      <c r="BB60" s="36" t="n">
        <v>2</v>
      </c>
      <c r="BC60" s="27" t="inlineStr">
        <is>
          <t>ticks</t>
        </is>
      </c>
      <c r="BD60" s="24" t="n">
        <v>1433</v>
      </c>
      <c r="BE60" s="24" t="n">
        <v>9</v>
      </c>
      <c r="BF60" s="27" t="inlineStr">
        <is>
          <t>3214929/DAXEUR/2026-08-03_56885565_DAXEUR_sell_win</t>
        </is>
      </c>
      <c r="BG60" s="27" t="n"/>
    </row>
    <row r="61" ht="16" customHeight="1">
      <c r="A61" s="24" t="n">
        <v>60</v>
      </c>
      <c r="B61" s="26" t="n">
        <v>56906785</v>
      </c>
      <c r="C61" s="27" t="inlineStr">
        <is>
          <t>XAUUSD</t>
        </is>
      </c>
      <c r="D61" s="27" t="inlineStr">
        <is>
          <t>buy</t>
        </is>
      </c>
      <c r="E61" s="28" t="n">
        <v>0.04</v>
      </c>
      <c r="F61" s="29" t="n">
        <v>46237.47341400463</v>
      </c>
      <c r="G61" s="29" t="n">
        <v>46237.49300261574</v>
      </c>
      <c r="H61" s="27" t="inlineStr">
        <is>
          <t>Monday</t>
        </is>
      </c>
      <c r="I61" s="26" t="n">
        <v>11</v>
      </c>
      <c r="J61" s="27" t="inlineStr">
        <is>
          <t>London</t>
        </is>
      </c>
      <c r="K61" s="27" t="inlineStr">
        <is>
          <t>2026-W32</t>
        </is>
      </c>
      <c r="L61" s="27" t="inlineStr">
        <is>
          <t>2026-08</t>
        </is>
      </c>
      <c r="M61" s="27" t="inlineStr">
        <is>
          <t>28m 12s</t>
        </is>
      </c>
      <c r="N61" s="30" t="n">
        <v>1692.456000089645</v>
      </c>
      <c r="O61" s="28" t="n">
        <v>28.208</v>
      </c>
      <c r="P61" s="27" t="inlineStr">
        <is>
          <t>D. 15-30 min</t>
        </is>
      </c>
      <c r="Q61" s="28" t="n">
        <v>4046.96</v>
      </c>
      <c r="R61" s="28" t="n">
        <v>4058.62</v>
      </c>
      <c r="S61" s="28" t="n">
        <v>4044.32</v>
      </c>
      <c r="T61" s="28" t="n">
        <v>4058.31</v>
      </c>
      <c r="U61" s="28" t="n">
        <v>4044.32</v>
      </c>
      <c r="V61" s="27" t="inlineStr">
        <is>
          <t>Unchanged</t>
        </is>
      </c>
      <c r="W61" s="30" t="n">
        <v>0</v>
      </c>
      <c r="X61" s="31" t="n">
        <v>10.56</v>
      </c>
      <c r="Y61" s="28" t="n">
        <v>4.299</v>
      </c>
      <c r="Z61" s="32" t="n">
        <v>4.4</v>
      </c>
      <c r="AA61" s="27" t="inlineStr">
        <is>
          <t>J. &gt;= 3R</t>
        </is>
      </c>
      <c r="AB61" s="31" t="n">
        <v>46.64</v>
      </c>
      <c r="AC61" s="31" t="n">
        <v>-0.18</v>
      </c>
      <c r="AD61" s="33" t="n">
        <v>46.46</v>
      </c>
      <c r="AE61" s="27" t="inlineStr">
        <is>
          <t>Win</t>
        </is>
      </c>
      <c r="AF61" s="27" t="inlineStr">
        <is>
          <t>Take Profit</t>
        </is>
      </c>
      <c r="AG61" s="30" t="n">
        <v>1166</v>
      </c>
      <c r="AH61" s="31" t="n">
        <v>46.64</v>
      </c>
      <c r="AI61" s="31" t="n">
        <v>-5.76</v>
      </c>
      <c r="AJ61" s="28" t="n">
        <v>4.417</v>
      </c>
      <c r="AK61" s="28" t="n">
        <v>-0.545</v>
      </c>
      <c r="AL61" s="28" t="n">
        <v>4058.62</v>
      </c>
      <c r="AM61" s="28" t="n">
        <v>4045.52</v>
      </c>
      <c r="AN61" s="27" t="inlineStr">
        <is>
          <t>28m 12s</t>
        </is>
      </c>
      <c r="AO61" s="27" t="inlineStr">
        <is>
          <t>1m 29s</t>
        </is>
      </c>
      <c r="AP61" s="34" t="n">
        <v>54.5</v>
      </c>
      <c r="AQ61" s="28" t="n">
        <v>0.996</v>
      </c>
      <c r="AR61" s="31" t="n">
        <v>0.18</v>
      </c>
      <c r="AS61" s="28" t="n">
        <v>0.8901</v>
      </c>
      <c r="AT61" s="28" t="n">
        <v>1</v>
      </c>
      <c r="AU61" s="28" t="n">
        <v>0.8901</v>
      </c>
      <c r="AV61" s="27" t="inlineStr">
        <is>
          <t>No</t>
        </is>
      </c>
      <c r="AW61" s="27" t="inlineStr">
        <is>
          <t>No</t>
        </is>
      </c>
      <c r="AX61" s="35" t="n">
        <v>1.008</v>
      </c>
      <c r="AY61" s="31" t="n">
        <v>1094.14</v>
      </c>
      <c r="AZ61" s="31" t="n">
        <v>0</v>
      </c>
      <c r="BA61" s="34" t="n">
        <v>0</v>
      </c>
      <c r="BB61" s="36" t="n">
        <v>3</v>
      </c>
      <c r="BC61" s="27" t="inlineStr">
        <is>
          <t>ticks</t>
        </is>
      </c>
      <c r="BD61" s="24" t="n">
        <v>2441</v>
      </c>
      <c r="BE61" s="24" t="n">
        <v>9</v>
      </c>
      <c r="BF61" s="27" t="inlineStr">
        <is>
          <t>3214929/XAUUSD/2026-08-03_56906785_XAUUSD_buy_win</t>
        </is>
      </c>
      <c r="BG61" s="27" t="n"/>
    </row>
    <row r="62" ht="16" customHeight="1">
      <c r="A62" s="24" t="n">
        <v>61</v>
      </c>
      <c r="B62" s="26" t="n">
        <v>56908570</v>
      </c>
      <c r="C62" s="27" t="inlineStr">
        <is>
          <t>NIKJPY</t>
        </is>
      </c>
      <c r="D62" s="27" t="inlineStr">
        <is>
          <t>buy</t>
        </is>
      </c>
      <c r="E62" s="28" t="n">
        <v>0.1</v>
      </c>
      <c r="F62" s="29" t="n">
        <v>46237.48594319444</v>
      </c>
      <c r="G62" s="29" t="n">
        <v>46237.49381126157</v>
      </c>
      <c r="H62" s="27" t="inlineStr">
        <is>
          <t>Monday</t>
        </is>
      </c>
      <c r="I62" s="26" t="n">
        <v>11</v>
      </c>
      <c r="J62" s="27" t="inlineStr">
        <is>
          <t>London</t>
        </is>
      </c>
      <c r="K62" s="27" t="inlineStr">
        <is>
          <t>2026-W32</t>
        </is>
      </c>
      <c r="L62" s="27" t="inlineStr">
        <is>
          <t>2026-08</t>
        </is>
      </c>
      <c r="M62" s="27" t="inlineStr">
        <is>
          <t>11m 20s</t>
        </is>
      </c>
      <c r="N62" s="30" t="n">
        <v>679.800999879837</v>
      </c>
      <c r="O62" s="28" t="n">
        <v>11.33</v>
      </c>
      <c r="P62" s="27" t="inlineStr">
        <is>
          <t>C. 5-15 min</t>
        </is>
      </c>
      <c r="Q62" s="28" t="n">
        <v>62765</v>
      </c>
      <c r="R62" s="28" t="n">
        <v>62605</v>
      </c>
      <c r="S62" s="28" t="n">
        <v>62606</v>
      </c>
      <c r="T62" s="28" t="n">
        <v>63158</v>
      </c>
      <c r="U62" s="28" t="n">
        <v>62606</v>
      </c>
      <c r="V62" s="27" t="inlineStr">
        <is>
          <t>Unchanged</t>
        </is>
      </c>
      <c r="W62" s="30" t="n">
        <v>0</v>
      </c>
      <c r="X62" s="31" t="n">
        <v>9.98</v>
      </c>
      <c r="Y62" s="28" t="n">
        <v>2.472</v>
      </c>
      <c r="Z62" s="32" t="n">
        <v>-1.023</v>
      </c>
      <c r="AA62" s="27" t="inlineStr">
        <is>
          <t>B. -1.5R..-1R</t>
        </is>
      </c>
      <c r="AB62" s="31" t="n">
        <v>-10.21</v>
      </c>
      <c r="AC62" s="31" t="n">
        <v>0</v>
      </c>
      <c r="AD62" s="33" t="n">
        <v>-10.21</v>
      </c>
      <c r="AE62" s="27" t="inlineStr">
        <is>
          <t>Loss</t>
        </is>
      </c>
      <c r="AF62" s="27" t="inlineStr">
        <is>
          <t>Stop Loss</t>
        </is>
      </c>
      <c r="AG62" s="30" t="n">
        <v>-160</v>
      </c>
      <c r="AH62" s="31" t="n">
        <v>0</v>
      </c>
      <c r="AI62" s="31" t="n">
        <v>-10.05</v>
      </c>
      <c r="AJ62" s="28" t="n">
        <v>0</v>
      </c>
      <c r="AK62" s="28" t="n">
        <v>-1.007</v>
      </c>
      <c r="AL62" s="28" t="n">
        <v>62765</v>
      </c>
      <c r="AM62" s="28" t="n">
        <v>62605</v>
      </c>
      <c r="AN62" s="27" t="inlineStr">
        <is>
          <t>0.0s</t>
        </is>
      </c>
      <c r="AO62" s="27" t="inlineStr">
        <is>
          <t>11m 20s</t>
        </is>
      </c>
      <c r="AP62" s="34" t="n">
        <v>100.7</v>
      </c>
      <c r="AQ62" s="28" t="n"/>
      <c r="AR62" s="31" t="n"/>
      <c r="AS62" s="28" t="n">
        <v>0</v>
      </c>
      <c r="AT62" s="28" t="n">
        <v>0</v>
      </c>
      <c r="AU62" s="28" t="n">
        <v>-1</v>
      </c>
      <c r="AV62" s="27" t="inlineStr">
        <is>
          <t>Yes</t>
        </is>
      </c>
      <c r="AW62" s="27" t="inlineStr">
        <is>
          <t>Yes</t>
        </is>
      </c>
      <c r="AX62" s="35" t="n">
        <v>0.912</v>
      </c>
      <c r="AY62" s="31" t="n">
        <v>1083.93</v>
      </c>
      <c r="AZ62" s="31" t="n">
        <v>10.21</v>
      </c>
      <c r="BA62" s="34" t="n">
        <v>0.9330000000000001</v>
      </c>
      <c r="BB62" s="36" t="n">
        <v>-1</v>
      </c>
      <c r="BC62" s="27" t="inlineStr">
        <is>
          <t>ticks</t>
        </is>
      </c>
      <c r="BD62" s="24" t="n">
        <v>687</v>
      </c>
      <c r="BE62" s="24" t="n">
        <v>9</v>
      </c>
      <c r="BF62" s="27" t="inlineStr">
        <is>
          <t>3214929/NIKJPY/2026-08-03_56908570_NIKJPY_buy_loss</t>
        </is>
      </c>
      <c r="BG62" s="27" t="n"/>
    </row>
    <row r="63" ht="16" customHeight="1">
      <c r="A63" s="24" t="n">
        <v>62</v>
      </c>
      <c r="B63" s="26" t="n">
        <v>57008578</v>
      </c>
      <c r="C63" s="27" t="inlineStr">
        <is>
          <t>DJIUSD</t>
        </is>
      </c>
      <c r="D63" s="27" t="inlineStr">
        <is>
          <t>buy</t>
        </is>
      </c>
      <c r="E63" s="28" t="n">
        <v>0.02</v>
      </c>
      <c r="F63" s="29" t="n">
        <v>46237.58537717593</v>
      </c>
      <c r="G63" s="29" t="n">
        <v>46237.58621923611</v>
      </c>
      <c r="H63" s="27" t="inlineStr">
        <is>
          <t>Monday</t>
        </is>
      </c>
      <c r="I63" s="26" t="n">
        <v>14</v>
      </c>
      <c r="J63" s="27" t="inlineStr">
        <is>
          <t>NY Overlap</t>
        </is>
      </c>
      <c r="K63" s="27" t="inlineStr">
        <is>
          <t>2026-W32</t>
        </is>
      </c>
      <c r="L63" s="27" t="inlineStr">
        <is>
          <t>2026-08</t>
        </is>
      </c>
      <c r="M63" s="27" t="inlineStr">
        <is>
          <t>1m 13s</t>
        </is>
      </c>
      <c r="N63" s="30" t="n">
        <v>72.75399994850159</v>
      </c>
      <c r="O63" s="28" t="n">
        <v>1.213</v>
      </c>
      <c r="P63" s="27" t="inlineStr">
        <is>
          <t>B. 1-5 min</t>
        </is>
      </c>
      <c r="Q63" s="28" t="n">
        <v>53233.94</v>
      </c>
      <c r="R63" s="28" t="n">
        <v>53209.65</v>
      </c>
      <c r="S63" s="28" t="n">
        <v>53211.15</v>
      </c>
      <c r="T63" s="28" t="n">
        <v>53253.76</v>
      </c>
      <c r="U63" s="28" t="n">
        <v>53211.15</v>
      </c>
      <c r="V63" s="27" t="inlineStr">
        <is>
          <t>Unchanged</t>
        </is>
      </c>
      <c r="W63" s="30" t="n">
        <v>0</v>
      </c>
      <c r="X63" s="31" t="n">
        <v>4.56</v>
      </c>
      <c r="Y63" s="28" t="n">
        <v>0.868</v>
      </c>
      <c r="Z63" s="32" t="n">
        <v>-1.066</v>
      </c>
      <c r="AA63" s="27" t="inlineStr">
        <is>
          <t>B. -1.5R..-1R</t>
        </is>
      </c>
      <c r="AB63" s="31" t="n">
        <v>-4.86</v>
      </c>
      <c r="AC63" s="31" t="n">
        <v>0</v>
      </c>
      <c r="AD63" s="33" t="n">
        <v>-4.86</v>
      </c>
      <c r="AE63" s="27" t="inlineStr">
        <is>
          <t>Loss</t>
        </is>
      </c>
      <c r="AF63" s="27" t="inlineStr">
        <is>
          <t>Stop Loss</t>
        </is>
      </c>
      <c r="AG63" s="30" t="n">
        <v>-2429</v>
      </c>
      <c r="AH63" s="31" t="n">
        <v>1.94</v>
      </c>
      <c r="AI63" s="31" t="n">
        <v>-5.06</v>
      </c>
      <c r="AJ63" s="28" t="n">
        <v>0.425</v>
      </c>
      <c r="AK63" s="28" t="n">
        <v>-1.11</v>
      </c>
      <c r="AL63" s="28" t="n">
        <v>53243.65</v>
      </c>
      <c r="AM63" s="28" t="n">
        <v>53208.65</v>
      </c>
      <c r="AN63" s="27" t="inlineStr">
        <is>
          <t>48s</t>
        </is>
      </c>
      <c r="AO63" s="27" t="inlineStr">
        <is>
          <t>1m 13s</t>
        </is>
      </c>
      <c r="AP63" s="34" t="n">
        <v>111</v>
      </c>
      <c r="AQ63" s="28" t="n">
        <v>-2.505</v>
      </c>
      <c r="AR63" s="31" t="n">
        <v>6.8</v>
      </c>
      <c r="AS63" s="28" t="n">
        <v>0.2774</v>
      </c>
      <c r="AT63" s="28" t="n">
        <v>0.0286</v>
      </c>
      <c r="AU63" s="28" t="n">
        <v>-0.694</v>
      </c>
      <c r="AV63" s="27" t="inlineStr">
        <is>
          <t>Yes</t>
        </is>
      </c>
      <c r="AW63" s="27" t="inlineStr">
        <is>
          <t>No</t>
        </is>
      </c>
      <c r="AX63" s="35" t="n">
        <v>0.421</v>
      </c>
      <c r="AY63" s="31" t="n">
        <v>1079.07</v>
      </c>
      <c r="AZ63" s="31" t="n">
        <v>15.07</v>
      </c>
      <c r="BA63" s="34" t="n">
        <v>1.377</v>
      </c>
      <c r="BB63" s="36" t="n">
        <v>-2</v>
      </c>
      <c r="BC63" s="27" t="inlineStr">
        <is>
          <t>ticks</t>
        </is>
      </c>
      <c r="BD63" s="24" t="n">
        <v>158</v>
      </c>
      <c r="BE63" s="24" t="n">
        <v>9</v>
      </c>
      <c r="BF63" s="27" t="inlineStr">
        <is>
          <t>3214929/DJIUSD/2026-08-03_57008578_DJIUSD_buy_loss</t>
        </is>
      </c>
      <c r="BG63" s="27" t="n"/>
    </row>
    <row r="64" ht="16" customHeight="1">
      <c r="A64" s="24" t="n">
        <v>63</v>
      </c>
      <c r="B64" s="26" t="n">
        <v>57019000</v>
      </c>
      <c r="C64" s="27" t="inlineStr">
        <is>
          <t>DJIUSD</t>
        </is>
      </c>
      <c r="D64" s="27" t="inlineStr">
        <is>
          <t>buy</t>
        </is>
      </c>
      <c r="E64" s="28" t="n">
        <v>0.01</v>
      </c>
      <c r="F64" s="29" t="n">
        <v>46237.59348041667</v>
      </c>
      <c r="G64" s="29" t="n">
        <v>46237.59737491898</v>
      </c>
      <c r="H64" s="27" t="inlineStr">
        <is>
          <t>Monday</t>
        </is>
      </c>
      <c r="I64" s="26" t="n">
        <v>14</v>
      </c>
      <c r="J64" s="27" t="inlineStr">
        <is>
          <t>NY Overlap</t>
        </is>
      </c>
      <c r="K64" s="27" t="inlineStr">
        <is>
          <t>2026-W32</t>
        </is>
      </c>
      <c r="L64" s="27" t="inlineStr">
        <is>
          <t>2026-08</t>
        </is>
      </c>
      <c r="M64" s="27" t="inlineStr">
        <is>
          <t>5m 36s</t>
        </is>
      </c>
      <c r="N64" s="30" t="n">
        <v>336.4850001335144</v>
      </c>
      <c r="O64" s="28" t="n">
        <v>5.608</v>
      </c>
      <c r="P64" s="27" t="inlineStr">
        <is>
          <t>C. 5-15 min</t>
        </is>
      </c>
      <c r="Q64" s="28" t="n">
        <v>53209.88999999999</v>
      </c>
      <c r="R64" s="28" t="n">
        <v>53163.1</v>
      </c>
      <c r="S64" s="28" t="n">
        <v>53169.42</v>
      </c>
      <c r="T64" s="28" t="n">
        <v>53221.96</v>
      </c>
      <c r="U64" s="28" t="n">
        <v>53163.85</v>
      </c>
      <c r="V64" s="27" t="inlineStr">
        <is>
          <t>Widened</t>
        </is>
      </c>
      <c r="W64" s="30" t="n">
        <v>-557</v>
      </c>
      <c r="X64" s="31" t="n">
        <v>4.05</v>
      </c>
      <c r="Y64" s="28" t="n">
        <v>0.299</v>
      </c>
      <c r="Z64" s="32" t="n">
        <v>-1.156</v>
      </c>
      <c r="AA64" s="27" t="inlineStr">
        <is>
          <t>B. -1.5R..-1R</t>
        </is>
      </c>
      <c r="AB64" s="31" t="n">
        <v>-4.68</v>
      </c>
      <c r="AC64" s="31" t="n">
        <v>0</v>
      </c>
      <c r="AD64" s="33" t="n">
        <v>-4.68</v>
      </c>
      <c r="AE64" s="27" t="inlineStr">
        <is>
          <t>Loss</t>
        </is>
      </c>
      <c r="AF64" s="27" t="inlineStr">
        <is>
          <t>Stop Loss</t>
        </is>
      </c>
      <c r="AG64" s="30" t="n">
        <v>-4679</v>
      </c>
      <c r="AH64" s="31" t="n">
        <v>1.22</v>
      </c>
      <c r="AI64" s="31" t="n">
        <v>-5.68</v>
      </c>
      <c r="AJ64" s="28" t="n">
        <v>0.301</v>
      </c>
      <c r="AK64" s="28" t="n">
        <v>-1.402</v>
      </c>
      <c r="AL64" s="28" t="n">
        <v>53222.1</v>
      </c>
      <c r="AM64" s="28" t="n">
        <v>53153.1</v>
      </c>
      <c r="AN64" s="27" t="inlineStr">
        <is>
          <t>51s</t>
        </is>
      </c>
      <c r="AO64" s="27" t="inlineStr">
        <is>
          <t>5m 37s</t>
        </is>
      </c>
      <c r="AP64" s="34" t="n">
        <v>140.2</v>
      </c>
      <c r="AQ64" s="28" t="n">
        <v>-3.836</v>
      </c>
      <c r="AR64" s="31" t="n">
        <v>5.9</v>
      </c>
      <c r="AS64" s="28" t="n">
        <v>0.177</v>
      </c>
      <c r="AT64" s="28" t="n">
        <v>0.1449</v>
      </c>
      <c r="AU64" s="28" t="n">
        <v>-0.6781</v>
      </c>
      <c r="AV64" s="27" t="inlineStr">
        <is>
          <t>Yes</t>
        </is>
      </c>
      <c r="AW64" s="27" t="inlineStr">
        <is>
          <t>No</t>
        </is>
      </c>
      <c r="AX64" s="35" t="n">
        <v>0.375</v>
      </c>
      <c r="AY64" s="31" t="n">
        <v>1074.39</v>
      </c>
      <c r="AZ64" s="31" t="n">
        <v>19.75</v>
      </c>
      <c r="BA64" s="34" t="n">
        <v>1.805</v>
      </c>
      <c r="BB64" s="36" t="n">
        <v>-3</v>
      </c>
      <c r="BC64" s="27" t="inlineStr">
        <is>
          <t>ticks</t>
        </is>
      </c>
      <c r="BD64" s="24" t="n">
        <v>703</v>
      </c>
      <c r="BE64" s="24" t="n">
        <v>9</v>
      </c>
      <c r="BF64" s="27" t="inlineStr">
        <is>
          <t>3214929/DJIUSD/2026-08-03_57019000_DJIUSD_buy_loss</t>
        </is>
      </c>
      <c r="BG64" s="27" t="n"/>
    </row>
    <row r="65" ht="16" customHeight="1">
      <c r="A65" s="24" t="n">
        <v>64</v>
      </c>
      <c r="B65" s="26" t="n">
        <v>57028737</v>
      </c>
      <c r="C65" s="27" t="inlineStr">
        <is>
          <t>XAUUSD</t>
        </is>
      </c>
      <c r="D65" s="27" t="inlineStr">
        <is>
          <t>buy</t>
        </is>
      </c>
      <c r="E65" s="28" t="n">
        <v>0.03</v>
      </c>
      <c r="F65" s="29" t="n">
        <v>46237.60309511574</v>
      </c>
      <c r="G65" s="29" t="n">
        <v>46237.6293255787</v>
      </c>
      <c r="H65" s="27" t="inlineStr">
        <is>
          <t>Monday</t>
        </is>
      </c>
      <c r="I65" s="26" t="n">
        <v>14</v>
      </c>
      <c r="J65" s="27" t="inlineStr">
        <is>
          <t>NY Overlap</t>
        </is>
      </c>
      <c r="K65" s="27" t="inlineStr">
        <is>
          <t>2026-W32</t>
        </is>
      </c>
      <c r="L65" s="27" t="inlineStr">
        <is>
          <t>2026-08</t>
        </is>
      </c>
      <c r="M65" s="27" t="inlineStr">
        <is>
          <t>37m 46s</t>
        </is>
      </c>
      <c r="N65" s="30" t="n">
        <v>2266.31200003624</v>
      </c>
      <c r="O65" s="28" t="n">
        <v>37.772</v>
      </c>
      <c r="P65" s="27" t="inlineStr">
        <is>
          <t>E. 30-60 min</t>
        </is>
      </c>
      <c r="Q65" s="28" t="n">
        <v>4034.8</v>
      </c>
      <c r="R65" s="28" t="n">
        <v>4030.41</v>
      </c>
      <c r="S65" s="28" t="n">
        <v>4031.89</v>
      </c>
      <c r="T65" s="28" t="n">
        <v>4038.18</v>
      </c>
      <c r="U65" s="28" t="n">
        <v>4030.43</v>
      </c>
      <c r="V65" s="27" t="inlineStr">
        <is>
          <t>Widened</t>
        </is>
      </c>
      <c r="W65" s="30" t="n">
        <v>-146</v>
      </c>
      <c r="X65" s="31" t="n">
        <v>8.73</v>
      </c>
      <c r="Y65" s="28" t="n">
        <v>1.162</v>
      </c>
      <c r="Z65" s="32" t="n">
        <v>-1.525</v>
      </c>
      <c r="AA65" s="27" t="inlineStr">
        <is>
          <t>A. &lt;= -1.5R</t>
        </is>
      </c>
      <c r="AB65" s="31" t="n">
        <v>-13.17</v>
      </c>
      <c r="AC65" s="31" t="n">
        <v>-0.14</v>
      </c>
      <c r="AD65" s="33" t="n">
        <v>-13.31</v>
      </c>
      <c r="AE65" s="27" t="inlineStr">
        <is>
          <t>Loss</t>
        </is>
      </c>
      <c r="AF65" s="27" t="inlineStr">
        <is>
          <t>Stop Loss</t>
        </is>
      </c>
      <c r="AG65" s="30" t="n">
        <v>-439</v>
      </c>
      <c r="AH65" s="31" t="n">
        <v>13.08</v>
      </c>
      <c r="AI65" s="31" t="n">
        <v>-13.17</v>
      </c>
      <c r="AJ65" s="28" t="n">
        <v>1.498</v>
      </c>
      <c r="AK65" s="28" t="n">
        <v>-1.509</v>
      </c>
      <c r="AL65" s="28" t="n">
        <v>4039.16</v>
      </c>
      <c r="AM65" s="28" t="n">
        <v>4030.41</v>
      </c>
      <c r="AN65" s="27" t="inlineStr">
        <is>
          <t>29m 06s</t>
        </is>
      </c>
      <c r="AO65" s="27" t="inlineStr">
        <is>
          <t>37m 46s</t>
        </is>
      </c>
      <c r="AP65" s="34" t="n">
        <v>150.9</v>
      </c>
      <c r="AQ65" s="28" t="n">
        <v>-1.018</v>
      </c>
      <c r="AR65" s="31" t="n">
        <v>26.39</v>
      </c>
      <c r="AS65" s="28" t="n">
        <v>0.4983</v>
      </c>
      <c r="AT65" s="28" t="n">
        <v>0</v>
      </c>
      <c r="AU65" s="28" t="n">
        <v>-0.5017</v>
      </c>
      <c r="AV65" s="27" t="inlineStr">
        <is>
          <t>Yes</t>
        </is>
      </c>
      <c r="AW65" s="27" t="inlineStr">
        <is>
          <t>No</t>
        </is>
      </c>
      <c r="AX65" s="35" t="n">
        <v>0.8129999999999999</v>
      </c>
      <c r="AY65" s="31" t="n">
        <v>1061.08</v>
      </c>
      <c r="AZ65" s="31" t="n">
        <v>33.06</v>
      </c>
      <c r="BA65" s="34" t="n">
        <v>3.022</v>
      </c>
      <c r="BB65" s="36" t="n">
        <v>-4</v>
      </c>
      <c r="BC65" s="27" t="inlineStr">
        <is>
          <t>ticks</t>
        </is>
      </c>
      <c r="BD65" s="24" t="n">
        <v>4488</v>
      </c>
      <c r="BE65" s="24" t="n">
        <v>9</v>
      </c>
      <c r="BF65" s="27" t="inlineStr">
        <is>
          <t>3214929/XAUUSD/2026-08-03_57028737_XAUUSD_buy_loss</t>
        </is>
      </c>
      <c r="BG65" s="27" t="n"/>
    </row>
    <row r="66" ht="16" customHeight="1">
      <c r="A66" s="24" t="n">
        <v>65</v>
      </c>
      <c r="B66" s="26" t="n">
        <v>57056264</v>
      </c>
      <c r="C66" s="27" t="inlineStr">
        <is>
          <t>DAXEUR</t>
        </is>
      </c>
      <c r="D66" s="27" t="inlineStr">
        <is>
          <t>buy</t>
        </is>
      </c>
      <c r="E66" s="28" t="n">
        <v>0.01</v>
      </c>
      <c r="F66" s="29" t="n">
        <v>46237.63666555555</v>
      </c>
      <c r="G66" s="29" t="n">
        <v>46237.6388934375</v>
      </c>
      <c r="H66" s="27" t="inlineStr">
        <is>
          <t>Monday</t>
        </is>
      </c>
      <c r="I66" s="26" t="n">
        <v>15</v>
      </c>
      <c r="J66" s="27" t="inlineStr">
        <is>
          <t>NY Overlap</t>
        </is>
      </c>
      <c r="K66" s="27" t="inlineStr">
        <is>
          <t>2026-W32</t>
        </is>
      </c>
      <c r="L66" s="27" t="inlineStr">
        <is>
          <t>2026-08</t>
        </is>
      </c>
      <c r="M66" s="27" t="inlineStr">
        <is>
          <t>3m 12s</t>
        </is>
      </c>
      <c r="N66" s="30" t="n">
        <v>192.4889998435974</v>
      </c>
      <c r="O66" s="28" t="n">
        <v>3.208</v>
      </c>
      <c r="P66" s="27" t="inlineStr">
        <is>
          <t>B. 1-5 min</t>
        </is>
      </c>
      <c r="Q66" s="28" t="n">
        <v>26042.28</v>
      </c>
      <c r="R66" s="28" t="n">
        <v>26041.53</v>
      </c>
      <c r="S66" s="28" t="n">
        <v>26025.66</v>
      </c>
      <c r="T66" s="28" t="n">
        <v>26102.56</v>
      </c>
      <c r="U66" s="28" t="n">
        <v>26042.28</v>
      </c>
      <c r="V66" s="27" t="inlineStr">
        <is>
          <t>Breakeven</t>
        </is>
      </c>
      <c r="W66" s="30" t="n">
        <v>1662</v>
      </c>
      <c r="X66" s="31" t="n">
        <v>1.92</v>
      </c>
      <c r="Y66" s="28" t="n">
        <v>3.625</v>
      </c>
      <c r="Z66" s="32" t="n">
        <v>-0.047</v>
      </c>
      <c r="AA66" s="27" t="inlineStr">
        <is>
          <t>D. -0.5R..0</t>
        </is>
      </c>
      <c r="AB66" s="31" t="n">
        <v>-0.09</v>
      </c>
      <c r="AC66" s="31" t="n">
        <v>0</v>
      </c>
      <c r="AD66" s="33" t="n">
        <v>-0.09</v>
      </c>
      <c r="AE66" s="27" t="inlineStr">
        <is>
          <t>Loss</t>
        </is>
      </c>
      <c r="AF66" s="27" t="inlineStr">
        <is>
          <t>Stop Loss</t>
        </is>
      </c>
      <c r="AG66" s="30" t="n">
        <v>-75</v>
      </c>
      <c r="AH66" s="31" t="n">
        <v>0.78</v>
      </c>
      <c r="AI66" s="31" t="n">
        <v>-1.53</v>
      </c>
      <c r="AJ66" s="28" t="n">
        <v>0.406</v>
      </c>
      <c r="AK66" s="28" t="n">
        <v>-0.797</v>
      </c>
      <c r="AL66" s="28" t="n">
        <v>26049.03</v>
      </c>
      <c r="AM66" s="28" t="n">
        <v>26029.03</v>
      </c>
      <c r="AN66" s="27" t="inlineStr">
        <is>
          <t>3m 13s</t>
        </is>
      </c>
      <c r="AO66" s="27" t="inlineStr">
        <is>
          <t>49s</t>
        </is>
      </c>
      <c r="AP66" s="34" t="n">
        <v>79.7</v>
      </c>
      <c r="AQ66" s="28" t="n">
        <v>-0.115</v>
      </c>
      <c r="AR66" s="31" t="n">
        <v>0.87</v>
      </c>
      <c r="AS66" s="28" t="n">
        <v>0.3375</v>
      </c>
      <c r="AT66" s="28" t="n">
        <v>0.625</v>
      </c>
      <c r="AU66" s="28" t="n">
        <v>-0.0375</v>
      </c>
      <c r="AV66" s="27" t="inlineStr">
        <is>
          <t>No</t>
        </is>
      </c>
      <c r="AW66" s="27" t="inlineStr">
        <is>
          <t>No</t>
        </is>
      </c>
      <c r="AX66" s="35" t="n">
        <v>0.181</v>
      </c>
      <c r="AY66" s="31" t="n">
        <v>1060.99</v>
      </c>
      <c r="AZ66" s="31" t="n">
        <v>33.15</v>
      </c>
      <c r="BA66" s="34" t="n">
        <v>3.03</v>
      </c>
      <c r="BB66" s="36" t="n">
        <v>-5</v>
      </c>
      <c r="BC66" s="27" t="inlineStr">
        <is>
          <t>ticks</t>
        </is>
      </c>
      <c r="BD66" s="24" t="n">
        <v>211</v>
      </c>
      <c r="BE66" s="24" t="n">
        <v>9</v>
      </c>
      <c r="BF66" s="27" t="inlineStr">
        <is>
          <t>3214929/DAXEUR/2026-08-03_57056264_DAXEUR_buy_loss</t>
        </is>
      </c>
      <c r="BG66" s="27" t="n"/>
    </row>
    <row r="67" ht="16" customHeight="1">
      <c r="A67" s="24" t="n">
        <v>66</v>
      </c>
      <c r="B67" s="26" t="n">
        <v>57056600</v>
      </c>
      <c r="C67" s="27" t="inlineStr">
        <is>
          <t>DAXEUR</t>
        </is>
      </c>
      <c r="D67" s="27" t="inlineStr">
        <is>
          <t>buy</t>
        </is>
      </c>
      <c r="E67" s="28" t="n">
        <v>0.04</v>
      </c>
      <c r="F67" s="29" t="n">
        <v>46237.63724400463</v>
      </c>
      <c r="G67" s="29" t="n">
        <v>46237.64359831018</v>
      </c>
      <c r="H67" s="27" t="inlineStr">
        <is>
          <t>Monday</t>
        </is>
      </c>
      <c r="I67" s="26" t="n">
        <v>15</v>
      </c>
      <c r="J67" s="27" t="inlineStr">
        <is>
          <t>NY Overlap</t>
        </is>
      </c>
      <c r="K67" s="27" t="inlineStr">
        <is>
          <t>2026-W32</t>
        </is>
      </c>
      <c r="L67" s="27" t="inlineStr">
        <is>
          <t>2026-08</t>
        </is>
      </c>
      <c r="M67" s="27" t="inlineStr">
        <is>
          <t>9m 09s</t>
        </is>
      </c>
      <c r="N67" s="30" t="n">
        <v>549.0120000839233</v>
      </c>
      <c r="O67" s="28" t="n">
        <v>9.15</v>
      </c>
      <c r="P67" s="27" t="inlineStr">
        <is>
          <t>C. 5-15 min</t>
        </is>
      </c>
      <c r="Q67" s="28" t="n">
        <v>26030.28</v>
      </c>
      <c r="R67" s="28" t="n">
        <v>26057.48</v>
      </c>
      <c r="S67" s="28" t="n">
        <v>26021.01</v>
      </c>
      <c r="T67" s="28" t="n">
        <v>26040.48</v>
      </c>
      <c r="U67" s="28" t="n">
        <v>26021.01</v>
      </c>
      <c r="V67" s="27" t="inlineStr">
        <is>
          <t>Unchanged</t>
        </is>
      </c>
      <c r="W67" s="30" t="n">
        <v>0</v>
      </c>
      <c r="X67" s="31" t="n">
        <v>4.28</v>
      </c>
      <c r="Y67" s="28" t="n">
        <v>1.1</v>
      </c>
      <c r="Z67" s="32" t="n">
        <v>2.925</v>
      </c>
      <c r="AA67" s="27" t="inlineStr">
        <is>
          <t>I. 2R..3R</t>
        </is>
      </c>
      <c r="AB67" s="31" t="n">
        <v>12.52</v>
      </c>
      <c r="AC67" s="31" t="n">
        <v>0</v>
      </c>
      <c r="AD67" s="33" t="n">
        <v>12.52</v>
      </c>
      <c r="AE67" s="27" t="inlineStr">
        <is>
          <t>Win</t>
        </is>
      </c>
      <c r="AF67" s="27" t="inlineStr">
        <is>
          <t>Expert</t>
        </is>
      </c>
      <c r="AG67" s="30" t="n">
        <v>2720</v>
      </c>
      <c r="AH67" s="31" t="n">
        <v>12.78</v>
      </c>
      <c r="AI67" s="31" t="n">
        <v>-0.58</v>
      </c>
      <c r="AJ67" s="28" t="n">
        <v>2.986</v>
      </c>
      <c r="AK67" s="28" t="n">
        <v>-0.136</v>
      </c>
      <c r="AL67" s="28" t="n">
        <v>26057.98</v>
      </c>
      <c r="AM67" s="28" t="n">
        <v>26029.03</v>
      </c>
      <c r="AN67" s="27" t="inlineStr">
        <is>
          <t>9m 07s</t>
        </is>
      </c>
      <c r="AO67" s="27" t="inlineStr">
        <is>
          <t>0.0s</t>
        </is>
      </c>
      <c r="AP67" s="34" t="n">
        <v>13.6</v>
      </c>
      <c r="AQ67" s="28" t="n">
        <v>0.98</v>
      </c>
      <c r="AR67" s="31" t="n">
        <v>0.26</v>
      </c>
      <c r="AS67" s="28" t="n">
        <v>0.9568</v>
      </c>
      <c r="AT67" s="28" t="n">
        <v>0.9827</v>
      </c>
      <c r="AU67" s="28" t="n">
        <v>0.9396</v>
      </c>
      <c r="AV67" s="27" t="inlineStr">
        <is>
          <t>No</t>
        </is>
      </c>
      <c r="AW67" s="27" t="inlineStr">
        <is>
          <t>No</t>
        </is>
      </c>
      <c r="AX67" s="35" t="n">
        <v>0.403</v>
      </c>
      <c r="AY67" s="31" t="n">
        <v>1073.51</v>
      </c>
      <c r="AZ67" s="31" t="n">
        <v>20.63</v>
      </c>
      <c r="BA67" s="34" t="n">
        <v>1.885</v>
      </c>
      <c r="BB67" s="36" t="n">
        <v>1</v>
      </c>
      <c r="BC67" s="27" t="inlineStr">
        <is>
          <t>ticks</t>
        </is>
      </c>
      <c r="BD67" s="24" t="n">
        <v>602</v>
      </c>
      <c r="BE67" s="24" t="n">
        <v>9</v>
      </c>
      <c r="BF67" s="27" t="inlineStr">
        <is>
          <t>3214929/DAXEUR/2026-08-03_57056600_DAXEUR_buy_win</t>
        </is>
      </c>
      <c r="BG67" s="27" t="n"/>
    </row>
    <row r="68" ht="16" customHeight="1">
      <c r="A68" s="24" t="n">
        <v>67</v>
      </c>
      <c r="B68" s="26" t="n">
        <v>57064381</v>
      </c>
      <c r="C68" s="27" t="inlineStr">
        <is>
          <t>DJIUSD</t>
        </is>
      </c>
      <c r="D68" s="27" t="inlineStr">
        <is>
          <t>sell</t>
        </is>
      </c>
      <c r="E68" s="28" t="n">
        <v>0.05</v>
      </c>
      <c r="F68" s="29" t="n">
        <v>46237.65351731481</v>
      </c>
      <c r="G68" s="29" t="n">
        <v>46237.66369162037</v>
      </c>
      <c r="H68" s="27" t="inlineStr">
        <is>
          <t>Monday</t>
        </is>
      </c>
      <c r="I68" s="26" t="n">
        <v>15</v>
      </c>
      <c r="J68" s="27" t="inlineStr">
        <is>
          <t>NY Overlap</t>
        </is>
      </c>
      <c r="K68" s="27" t="inlineStr">
        <is>
          <t>2026-W32</t>
        </is>
      </c>
      <c r="L68" s="27" t="inlineStr">
        <is>
          <t>2026-08</t>
        </is>
      </c>
      <c r="M68" s="27" t="inlineStr">
        <is>
          <t>14m 39s</t>
        </is>
      </c>
      <c r="N68" s="30" t="n">
        <v>879.0600001811981</v>
      </c>
      <c r="O68" s="28" t="n">
        <v>14.651</v>
      </c>
      <c r="P68" s="27" t="inlineStr">
        <is>
          <t>C. 5-15 min</t>
        </is>
      </c>
      <c r="Q68" s="28" t="n">
        <v>53061.55</v>
      </c>
      <c r="R68" s="28" t="n">
        <v>53036.34</v>
      </c>
      <c r="S68" s="28" t="n">
        <v>53077.17</v>
      </c>
      <c r="T68" s="28" t="n">
        <v>53037.44</v>
      </c>
      <c r="U68" s="28" t="n">
        <v>53077.17</v>
      </c>
      <c r="V68" s="27" t="inlineStr">
        <is>
          <t>Unchanged</t>
        </is>
      </c>
      <c r="W68" s="30" t="n">
        <v>0</v>
      </c>
      <c r="X68" s="31" t="n">
        <v>7.81</v>
      </c>
      <c r="Y68" s="28" t="n">
        <v>1.544</v>
      </c>
      <c r="Z68" s="32" t="n">
        <v>1.615</v>
      </c>
      <c r="AA68" s="27" t="inlineStr">
        <is>
          <t>H. 1R..2R</t>
        </is>
      </c>
      <c r="AB68" s="31" t="n">
        <v>12.61</v>
      </c>
      <c r="AC68" s="31" t="n">
        <v>0</v>
      </c>
      <c r="AD68" s="33" t="n">
        <v>12.61</v>
      </c>
      <c r="AE68" s="27" t="inlineStr">
        <is>
          <t>Win</t>
        </is>
      </c>
      <c r="AF68" s="27" t="inlineStr">
        <is>
          <t>Expert</t>
        </is>
      </c>
      <c r="AG68" s="30" t="n">
        <v>2521</v>
      </c>
      <c r="AH68" s="31" t="n">
        <v>14.36</v>
      </c>
      <c r="AI68" s="31" t="n">
        <v>-8.4</v>
      </c>
      <c r="AJ68" s="28" t="n">
        <v>1.839</v>
      </c>
      <c r="AK68" s="28" t="n">
        <v>-1.076</v>
      </c>
      <c r="AL68" s="28" t="n">
        <v>53032.84</v>
      </c>
      <c r="AM68" s="28" t="n">
        <v>53078.34</v>
      </c>
      <c r="AN68" s="27" t="inlineStr">
        <is>
          <t>14m 36s</t>
        </is>
      </c>
      <c r="AO68" s="27" t="inlineStr">
        <is>
          <t>10m 49s</t>
        </is>
      </c>
      <c r="AP68" s="34" t="n">
        <v>107.6</v>
      </c>
      <c r="AQ68" s="28" t="n">
        <v>0.878</v>
      </c>
      <c r="AR68" s="31" t="n">
        <v>1.75</v>
      </c>
      <c r="AS68" s="28" t="n">
        <v>0.631</v>
      </c>
      <c r="AT68" s="28" t="n">
        <v>0.9231</v>
      </c>
      <c r="AU68" s="28" t="n">
        <v>0.5541</v>
      </c>
      <c r="AV68" s="27" t="inlineStr">
        <is>
          <t>No</t>
        </is>
      </c>
      <c r="AW68" s="27" t="inlineStr">
        <is>
          <t>No</t>
        </is>
      </c>
      <c r="AX68" s="35" t="n">
        <v>0.728</v>
      </c>
      <c r="AY68" s="31" t="n">
        <v>1086.12</v>
      </c>
      <c r="AZ68" s="31" t="n">
        <v>8.02</v>
      </c>
      <c r="BA68" s="34" t="n">
        <v>0.733</v>
      </c>
      <c r="BB68" s="36" t="n">
        <v>2</v>
      </c>
      <c r="BC68" s="27" t="inlineStr">
        <is>
          <t>ticks</t>
        </is>
      </c>
      <c r="BD68" s="24" t="n">
        <v>1293</v>
      </c>
      <c r="BE68" s="24" t="n">
        <v>9</v>
      </c>
      <c r="BF68" s="27" t="inlineStr">
        <is>
          <t>3214929/DJIUSD/2026-08-03_57064381_DJIUSD_sell_win</t>
        </is>
      </c>
      <c r="BG68" s="27" t="n"/>
    </row>
    <row r="69" ht="16" customHeight="1">
      <c r="A69" s="24" t="n">
        <v>68</v>
      </c>
      <c r="B69" s="26" t="n">
        <v>57062642</v>
      </c>
      <c r="C69" s="27" t="inlineStr">
        <is>
          <t>NDXUSD</t>
        </is>
      </c>
      <c r="D69" s="27" t="inlineStr">
        <is>
          <t>sell</t>
        </is>
      </c>
      <c r="E69" s="28" t="n">
        <v>0.01</v>
      </c>
      <c r="F69" s="29" t="n">
        <v>46237.64918569444</v>
      </c>
      <c r="G69" s="29" t="n">
        <v>46237.67815880787</v>
      </c>
      <c r="H69" s="27" t="inlineStr">
        <is>
          <t>Monday</t>
        </is>
      </c>
      <c r="I69" s="26" t="n">
        <v>15</v>
      </c>
      <c r="J69" s="27" t="inlineStr">
        <is>
          <t>NY Overlap</t>
        </is>
      </c>
      <c r="K69" s="27" t="inlineStr">
        <is>
          <t>2026-W32</t>
        </is>
      </c>
      <c r="L69" s="27" t="inlineStr">
        <is>
          <t>2026-08</t>
        </is>
      </c>
      <c r="M69" s="27" t="inlineStr">
        <is>
          <t>41m 43s</t>
        </is>
      </c>
      <c r="N69" s="30" t="n">
        <v>2503.276999950409</v>
      </c>
      <c r="O69" s="28" t="n">
        <v>41.721</v>
      </c>
      <c r="P69" s="27" t="inlineStr">
        <is>
          <t>E. 30-60 min</t>
        </is>
      </c>
      <c r="Q69" s="28" t="n">
        <v>28648.4</v>
      </c>
      <c r="R69" s="28" t="n">
        <v>28707.95</v>
      </c>
      <c r="S69" s="28" t="n">
        <v>28679.77</v>
      </c>
      <c r="T69" s="28" t="n">
        <v>28613.9</v>
      </c>
      <c r="U69" s="28" t="n">
        <v>28707.9</v>
      </c>
      <c r="V69" s="27" t="inlineStr">
        <is>
          <t>Widened</t>
        </is>
      </c>
      <c r="W69" s="30" t="n">
        <v>-2813</v>
      </c>
      <c r="X69" s="31" t="n">
        <v>3.14</v>
      </c>
      <c r="Y69" s="28" t="n">
        <v>1.099</v>
      </c>
      <c r="Z69" s="32" t="n">
        <v>-1.898</v>
      </c>
      <c r="AA69" s="27" t="inlineStr">
        <is>
          <t>A. &lt;= -1.5R</t>
        </is>
      </c>
      <c r="AB69" s="31" t="n">
        <v>-5.96</v>
      </c>
      <c r="AC69" s="31" t="n">
        <v>0</v>
      </c>
      <c r="AD69" s="33" t="n">
        <v>-5.96</v>
      </c>
      <c r="AE69" s="27" t="inlineStr">
        <is>
          <t>Loss</t>
        </is>
      </c>
      <c r="AF69" s="27" t="inlineStr">
        <is>
          <t>Stop Loss</t>
        </is>
      </c>
      <c r="AG69" s="30" t="n">
        <v>-5955</v>
      </c>
      <c r="AH69" s="31" t="n">
        <v>1.77</v>
      </c>
      <c r="AI69" s="31" t="n">
        <v>-5.96</v>
      </c>
      <c r="AJ69" s="28" t="n">
        <v>0.5639999999999999</v>
      </c>
      <c r="AK69" s="28" t="n">
        <v>-1.898</v>
      </c>
      <c r="AL69" s="28" t="n">
        <v>28630.7</v>
      </c>
      <c r="AM69" s="28" t="n">
        <v>28707.95</v>
      </c>
      <c r="AN69" s="27" t="inlineStr">
        <is>
          <t>3m 11s</t>
        </is>
      </c>
      <c r="AO69" s="27" t="inlineStr">
        <is>
          <t>41m 43s</t>
        </is>
      </c>
      <c r="AP69" s="34" t="n">
        <v>189.8</v>
      </c>
      <c r="AQ69" s="28" t="n">
        <v>-3.367</v>
      </c>
      <c r="AR69" s="31" t="n">
        <v>7.73</v>
      </c>
      <c r="AS69" s="28" t="n">
        <v>0.2291</v>
      </c>
      <c r="AT69" s="28" t="n">
        <v>0</v>
      </c>
      <c r="AU69" s="28" t="n">
        <v>-0.7709</v>
      </c>
      <c r="AV69" s="27" t="inlineStr">
        <is>
          <t>Yes</t>
        </is>
      </c>
      <c r="AW69" s="27" t="inlineStr">
        <is>
          <t>No</t>
        </is>
      </c>
      <c r="AX69" s="35" t="n">
        <v>0.289</v>
      </c>
      <c r="AY69" s="31" t="n">
        <v>1080.16</v>
      </c>
      <c r="AZ69" s="31" t="n">
        <v>13.98</v>
      </c>
      <c r="BA69" s="34" t="n">
        <v>1.278</v>
      </c>
      <c r="BB69" s="36" t="n">
        <v>-1</v>
      </c>
      <c r="BC69" s="27" t="inlineStr">
        <is>
          <t>ticks</t>
        </is>
      </c>
      <c r="BD69" s="24" t="n">
        <v>6221</v>
      </c>
      <c r="BE69" s="24" t="n">
        <v>9</v>
      </c>
      <c r="BF69" s="27" t="inlineStr">
        <is>
          <t>3214929/NDXUSD/2026-08-03_57062642_NDXUSD_sell_loss</t>
        </is>
      </c>
      <c r="BG69" s="27" t="n"/>
    </row>
    <row r="70" ht="16" customHeight="1">
      <c r="A70" s="24" t="n">
        <v>69</v>
      </c>
      <c r="B70" s="26" t="n">
        <v>57073391</v>
      </c>
      <c r="C70" s="27" t="inlineStr">
        <is>
          <t>DJIUSD</t>
        </is>
      </c>
      <c r="D70" s="27" t="inlineStr">
        <is>
          <t>sell</t>
        </is>
      </c>
      <c r="E70" s="28" t="n">
        <v>0.01</v>
      </c>
      <c r="F70" s="29" t="n">
        <v>46237.67054313658</v>
      </c>
      <c r="G70" s="29" t="n">
        <v>46237.73829964121</v>
      </c>
      <c r="H70" s="27" t="inlineStr">
        <is>
          <t>Monday</t>
        </is>
      </c>
      <c r="I70" s="26" t="n">
        <v>16</v>
      </c>
      <c r="J70" s="27" t="inlineStr">
        <is>
          <t>NY Overlap</t>
        </is>
      </c>
      <c r="K70" s="27" t="inlineStr">
        <is>
          <t>2026-W32</t>
        </is>
      </c>
      <c r="L70" s="27" t="inlineStr">
        <is>
          <t>2026-08</t>
        </is>
      </c>
      <c r="M70" s="27" t="inlineStr">
        <is>
          <t>1h 37m</t>
        </is>
      </c>
      <c r="N70" s="30" t="n">
        <v>5854.161999940872</v>
      </c>
      <c r="O70" s="28" t="n">
        <v>97.569</v>
      </c>
      <c r="P70" s="27" t="inlineStr">
        <is>
          <t>F. 1-4 h</t>
        </is>
      </c>
      <c r="Q70" s="28" t="n">
        <v>52999.14999999999</v>
      </c>
      <c r="R70" s="28" t="n">
        <v>53067.94</v>
      </c>
      <c r="S70" s="28" t="n">
        <v>53046.02</v>
      </c>
      <c r="T70" s="28" t="n">
        <v>52946.54</v>
      </c>
      <c r="U70" s="28" t="n">
        <v>53067.15</v>
      </c>
      <c r="V70" s="27" t="inlineStr">
        <is>
          <t>Widened</t>
        </is>
      </c>
      <c r="W70" s="30" t="n">
        <v>-2113</v>
      </c>
      <c r="X70" s="31" t="n">
        <v>4.69</v>
      </c>
      <c r="Y70" s="28" t="n">
        <v>1.122</v>
      </c>
      <c r="Z70" s="32" t="n">
        <v>-1.467</v>
      </c>
      <c r="AA70" s="27" t="inlineStr">
        <is>
          <t>B. -1.5R..-1R</t>
        </is>
      </c>
      <c r="AB70" s="31" t="n">
        <v>-6.88</v>
      </c>
      <c r="AC70" s="31" t="n">
        <v>0</v>
      </c>
      <c r="AD70" s="33" t="n">
        <v>-6.88</v>
      </c>
      <c r="AE70" s="27" t="inlineStr">
        <is>
          <t>Loss</t>
        </is>
      </c>
      <c r="AF70" s="27" t="inlineStr">
        <is>
          <t>Stop Loss</t>
        </is>
      </c>
      <c r="AG70" s="30" t="n">
        <v>-6879</v>
      </c>
      <c r="AH70" s="31" t="n">
        <v>6.72</v>
      </c>
      <c r="AI70" s="31" t="n">
        <v>-6.98</v>
      </c>
      <c r="AJ70" s="28" t="n">
        <v>1.433</v>
      </c>
      <c r="AK70" s="28" t="n">
        <v>-1.488</v>
      </c>
      <c r="AL70" s="28" t="n">
        <v>52931.94</v>
      </c>
      <c r="AM70" s="28" t="n">
        <v>53068.94</v>
      </c>
      <c r="AN70" s="27" t="inlineStr">
        <is>
          <t>1h 01m</t>
        </is>
      </c>
      <c r="AO70" s="27" t="inlineStr">
        <is>
          <t>1h 37m</t>
        </is>
      </c>
      <c r="AP70" s="34" t="n">
        <v>148.8</v>
      </c>
      <c r="AQ70" s="28" t="n">
        <v>-1.024</v>
      </c>
      <c r="AR70" s="31" t="n">
        <v>13.6</v>
      </c>
      <c r="AS70" s="28" t="n">
        <v>0.4906</v>
      </c>
      <c r="AT70" s="28" t="n">
        <v>0.0073</v>
      </c>
      <c r="AU70" s="28" t="n">
        <v>-0.5021</v>
      </c>
      <c r="AV70" s="27" t="inlineStr">
        <is>
          <t>Yes</t>
        </is>
      </c>
      <c r="AW70" s="27" t="inlineStr">
        <is>
          <t>No</t>
        </is>
      </c>
      <c r="AX70" s="35" t="n">
        <v>0.434</v>
      </c>
      <c r="AY70" s="31" t="n">
        <v>1073.28</v>
      </c>
      <c r="AZ70" s="31" t="n">
        <v>20.86</v>
      </c>
      <c r="BA70" s="34" t="n">
        <v>1.907</v>
      </c>
      <c r="BB70" s="36" t="n">
        <v>-2</v>
      </c>
      <c r="BC70" s="27" t="inlineStr">
        <is>
          <t>ticks</t>
        </is>
      </c>
      <c r="BD70" s="24" t="n">
        <v>7481</v>
      </c>
      <c r="BE70" s="24" t="n">
        <v>9</v>
      </c>
      <c r="BF70" s="27" t="inlineStr">
        <is>
          <t>3214929/DJIUSD/2026-08-03_57073391_DJIUSD_sell_loss</t>
        </is>
      </c>
      <c r="BG70" s="27" t="n"/>
    </row>
    <row r="71" ht="16" customHeight="1">
      <c r="A71" s="24" t="n">
        <v>70</v>
      </c>
      <c r="B71" s="26" t="n">
        <v>57103528</v>
      </c>
      <c r="C71" s="27" t="inlineStr">
        <is>
          <t>DJIUSD</t>
        </is>
      </c>
      <c r="D71" s="27" t="inlineStr">
        <is>
          <t>buy</t>
        </is>
      </c>
      <c r="E71" s="28" t="n">
        <v>0.04</v>
      </c>
      <c r="F71" s="29" t="n">
        <v>46237.76990094908</v>
      </c>
      <c r="G71" s="29" t="n">
        <v>46237.77355659723</v>
      </c>
      <c r="H71" s="27" t="inlineStr">
        <is>
          <t>Monday</t>
        </is>
      </c>
      <c r="I71" s="26" t="n">
        <v>18</v>
      </c>
      <c r="J71" s="27" t="inlineStr">
        <is>
          <t>NY Late</t>
        </is>
      </c>
      <c r="K71" s="27" t="inlineStr">
        <is>
          <t>2026-W32</t>
        </is>
      </c>
      <c r="L71" s="27" t="inlineStr">
        <is>
          <t>2026-08</t>
        </is>
      </c>
      <c r="M71" s="27" t="inlineStr">
        <is>
          <t>5m 16s</t>
        </is>
      </c>
      <c r="N71" s="30" t="n">
        <v>315.8480000495911</v>
      </c>
      <c r="O71" s="28" t="n">
        <v>5.264</v>
      </c>
      <c r="P71" s="27" t="inlineStr">
        <is>
          <t>C. 5-15 min</t>
        </is>
      </c>
      <c r="Q71" s="28" t="n">
        <v>53113.94</v>
      </c>
      <c r="R71" s="28" t="n">
        <v>53090.15</v>
      </c>
      <c r="S71" s="28" t="n">
        <v>53090.23</v>
      </c>
      <c r="T71" s="28" t="n">
        <v>53181.9</v>
      </c>
      <c r="U71" s="28" t="n">
        <v>53090.23</v>
      </c>
      <c r="V71" s="27" t="inlineStr">
        <is>
          <t>Unchanged</t>
        </is>
      </c>
      <c r="W71" s="30" t="n">
        <v>0</v>
      </c>
      <c r="X71" s="31" t="n">
        <v>9.48</v>
      </c>
      <c r="Y71" s="28" t="n">
        <v>2.867</v>
      </c>
      <c r="Z71" s="32" t="n">
        <v>-1.004</v>
      </c>
      <c r="AA71" s="27" t="inlineStr">
        <is>
          <t>B. -1.5R..-1R</t>
        </is>
      </c>
      <c r="AB71" s="31" t="n">
        <v>-9.52</v>
      </c>
      <c r="AC71" s="31" t="n">
        <v>0</v>
      </c>
      <c r="AD71" s="33" t="n">
        <v>-9.52</v>
      </c>
      <c r="AE71" s="27" t="inlineStr">
        <is>
          <t>Loss</t>
        </is>
      </c>
      <c r="AF71" s="27" t="inlineStr">
        <is>
          <t>Stop Loss</t>
        </is>
      </c>
      <c r="AG71" s="30" t="n">
        <v>-2379</v>
      </c>
      <c r="AH71" s="31" t="n">
        <v>10.48</v>
      </c>
      <c r="AI71" s="31" t="n">
        <v>-9.52</v>
      </c>
      <c r="AJ71" s="28" t="n">
        <v>1.105</v>
      </c>
      <c r="AK71" s="28" t="n">
        <v>-1.004</v>
      </c>
      <c r="AL71" s="28" t="n">
        <v>53140.15</v>
      </c>
      <c r="AM71" s="28" t="n">
        <v>53090.15</v>
      </c>
      <c r="AN71" s="27" t="inlineStr">
        <is>
          <t>1m 32s</t>
        </is>
      </c>
      <c r="AO71" s="27" t="inlineStr">
        <is>
          <t>5m 16s</t>
        </is>
      </c>
      <c r="AP71" s="34" t="n">
        <v>100.4</v>
      </c>
      <c r="AQ71" s="28" t="n">
        <v>-0.908</v>
      </c>
      <c r="AR71" s="31" t="n">
        <v>20</v>
      </c>
      <c r="AS71" s="28" t="n">
        <v>0.5242</v>
      </c>
      <c r="AT71" s="28" t="n">
        <v>0</v>
      </c>
      <c r="AU71" s="28" t="n">
        <v>-0.4758</v>
      </c>
      <c r="AV71" s="27" t="inlineStr">
        <is>
          <t>Yes</t>
        </is>
      </c>
      <c r="AW71" s="27" t="inlineStr">
        <is>
          <t>No</t>
        </is>
      </c>
      <c r="AX71" s="35" t="n">
        <v>0.883</v>
      </c>
      <c r="AY71" s="31" t="n">
        <v>1063.76</v>
      </c>
      <c r="AZ71" s="31" t="n">
        <v>30.38</v>
      </c>
      <c r="BA71" s="34" t="n">
        <v>2.777</v>
      </c>
      <c r="BB71" s="36" t="n">
        <v>-3</v>
      </c>
      <c r="BC71" s="27" t="inlineStr">
        <is>
          <t>ticks</t>
        </is>
      </c>
      <c r="BD71" s="24" t="n">
        <v>463</v>
      </c>
      <c r="BE71" s="24" t="n">
        <v>9</v>
      </c>
      <c r="BF71" s="27" t="inlineStr">
        <is>
          <t>3214929/DJIUSD/2026-08-03_57103528_DJIUSD_buy_loss</t>
        </is>
      </c>
      <c r="BG71" s="27" t="n"/>
    </row>
    <row r="72" ht="16" customHeight="1">
      <c r="A72" s="24" t="n">
        <v>71</v>
      </c>
      <c r="B72" s="26" t="n">
        <v>57182957</v>
      </c>
      <c r="C72" s="27" t="inlineStr">
        <is>
          <t>DAXEUR</t>
        </is>
      </c>
      <c r="D72" s="27" t="inlineStr">
        <is>
          <t>buy</t>
        </is>
      </c>
      <c r="E72" s="28" t="n">
        <v>0.03</v>
      </c>
      <c r="F72" s="29" t="n">
        <v>46238.30712138889</v>
      </c>
      <c r="G72" s="29" t="n">
        <v>46238.31126769676</v>
      </c>
      <c r="H72" s="27" t="inlineStr">
        <is>
          <t>Tuesday</t>
        </is>
      </c>
      <c r="I72" s="26" t="n">
        <v>7</v>
      </c>
      <c r="J72" s="27" t="inlineStr">
        <is>
          <t>Asia</t>
        </is>
      </c>
      <c r="K72" s="27" t="inlineStr">
        <is>
          <t>2026-W32</t>
        </is>
      </c>
      <c r="L72" s="27" t="inlineStr">
        <is>
          <t>2026-08</t>
        </is>
      </c>
      <c r="M72" s="27" t="inlineStr">
        <is>
          <t>5m 58s</t>
        </is>
      </c>
      <c r="N72" s="30" t="n">
        <v>358.2409999370575</v>
      </c>
      <c r="O72" s="28" t="n">
        <v>5.971</v>
      </c>
      <c r="P72" s="27" t="inlineStr">
        <is>
          <t>C. 5-15 min</t>
        </is>
      </c>
      <c r="Q72" s="28" t="n">
        <v>26213.78</v>
      </c>
      <c r="R72" s="28" t="n">
        <v>26236.53</v>
      </c>
      <c r="S72" s="28" t="n">
        <v>26200.83</v>
      </c>
      <c r="T72" s="28" t="n">
        <v>26230.12</v>
      </c>
      <c r="U72" s="28" t="n">
        <v>26200.83</v>
      </c>
      <c r="V72" s="27" t="inlineStr">
        <is>
          <t>Unchanged</t>
        </is>
      </c>
      <c r="W72" s="30" t="n">
        <v>0</v>
      </c>
      <c r="X72" s="31" t="n">
        <v>4.49</v>
      </c>
      <c r="Y72" s="28" t="n">
        <v>1.258</v>
      </c>
      <c r="Z72" s="32" t="n">
        <v>1.751</v>
      </c>
      <c r="AA72" s="27" t="inlineStr">
        <is>
          <t>H. 1R..2R</t>
        </is>
      </c>
      <c r="AB72" s="31" t="n">
        <v>7.86</v>
      </c>
      <c r="AC72" s="31" t="n">
        <v>0</v>
      </c>
      <c r="AD72" s="33" t="n">
        <v>7.86</v>
      </c>
      <c r="AE72" s="27" t="inlineStr">
        <is>
          <t>Win</t>
        </is>
      </c>
      <c r="AF72" s="27" t="inlineStr">
        <is>
          <t>Expert</t>
        </is>
      </c>
      <c r="AG72" s="30" t="n">
        <v>2275</v>
      </c>
      <c r="AH72" s="31" t="n">
        <v>7.88</v>
      </c>
      <c r="AI72" s="31" t="n">
        <v>-1.3</v>
      </c>
      <c r="AJ72" s="28" t="n">
        <v>1.755</v>
      </c>
      <c r="AK72" s="28" t="n">
        <v>-0.29</v>
      </c>
      <c r="AL72" s="28" t="n">
        <v>26236.53</v>
      </c>
      <c r="AM72" s="28" t="n">
        <v>26210.03</v>
      </c>
      <c r="AN72" s="27" t="inlineStr">
        <is>
          <t>4m 47s</t>
        </is>
      </c>
      <c r="AO72" s="27" t="inlineStr">
        <is>
          <t>18s</t>
        </is>
      </c>
      <c r="AP72" s="34" t="n">
        <v>29</v>
      </c>
      <c r="AQ72" s="28" t="n">
        <v>0.997</v>
      </c>
      <c r="AR72" s="31" t="n">
        <v>0.02</v>
      </c>
      <c r="AS72" s="28" t="n">
        <v>0.8585</v>
      </c>
      <c r="AT72" s="28" t="n">
        <v>1</v>
      </c>
      <c r="AU72" s="28" t="n">
        <v>0.8585</v>
      </c>
      <c r="AV72" s="27" t="inlineStr">
        <is>
          <t>No</t>
        </is>
      </c>
      <c r="AW72" s="27" t="inlineStr">
        <is>
          <t>No</t>
        </is>
      </c>
      <c r="AX72" s="35" t="n">
        <v>0.422</v>
      </c>
      <c r="AY72" s="31" t="n">
        <v>1071.62</v>
      </c>
      <c r="AZ72" s="31" t="n">
        <v>22.52</v>
      </c>
      <c r="BA72" s="34" t="n">
        <v>2.058</v>
      </c>
      <c r="BB72" s="36" t="n">
        <v>1</v>
      </c>
      <c r="BC72" s="27" t="inlineStr">
        <is>
          <t>ticks</t>
        </is>
      </c>
      <c r="BD72" s="24" t="n">
        <v>462</v>
      </c>
      <c r="BE72" s="24" t="n">
        <v>9</v>
      </c>
      <c r="BF72" s="27" t="inlineStr">
        <is>
          <t>3214929/DAXEUR/2026-08-04_57182957_DAXEUR_buy_win</t>
        </is>
      </c>
      <c r="BG72" s="27" t="n"/>
    </row>
    <row r="73" ht="16" customHeight="1">
      <c r="A73" s="24" t="n">
        <v>72</v>
      </c>
      <c r="B73" s="26" t="n">
        <v>57182998</v>
      </c>
      <c r="C73" s="27" t="inlineStr">
        <is>
          <t>DAXEUR</t>
        </is>
      </c>
      <c r="D73" s="27" t="inlineStr">
        <is>
          <t>buy</t>
        </is>
      </c>
      <c r="E73" s="28" t="n">
        <v>0.03</v>
      </c>
      <c r="F73" s="29" t="n">
        <v>46238.3072246412</v>
      </c>
      <c r="G73" s="29" t="n">
        <v>46238.31131584491</v>
      </c>
      <c r="H73" s="27" t="inlineStr">
        <is>
          <t>Tuesday</t>
        </is>
      </c>
      <c r="I73" s="26" t="n">
        <v>7</v>
      </c>
      <c r="J73" s="27" t="inlineStr">
        <is>
          <t>Asia</t>
        </is>
      </c>
      <c r="K73" s="27" t="inlineStr">
        <is>
          <t>2026-W32</t>
        </is>
      </c>
      <c r="L73" s="27" t="inlineStr">
        <is>
          <t>2026-08</t>
        </is>
      </c>
      <c r="M73" s="27" t="inlineStr">
        <is>
          <t>5m 53s</t>
        </is>
      </c>
      <c r="N73" s="30" t="n">
        <v>353.4799997806549</v>
      </c>
      <c r="O73" s="28" t="n">
        <v>5.891</v>
      </c>
      <c r="P73" s="27" t="inlineStr">
        <is>
          <t>C. 5-15 min</t>
        </is>
      </c>
      <c r="Q73" s="28" t="n">
        <v>26212.78</v>
      </c>
      <c r="R73" s="28" t="n">
        <v>26238.53</v>
      </c>
      <c r="S73" s="28" t="n">
        <v>26200.3</v>
      </c>
      <c r="T73" s="28" t="n">
        <v>26227.56</v>
      </c>
      <c r="U73" s="28" t="n">
        <v>26200.3</v>
      </c>
      <c r="V73" s="27" t="inlineStr">
        <is>
          <t>Unchanged</t>
        </is>
      </c>
      <c r="W73" s="30" t="n">
        <v>0</v>
      </c>
      <c r="X73" s="31" t="n">
        <v>4.31</v>
      </c>
      <c r="Y73" s="28" t="n">
        <v>1.186</v>
      </c>
      <c r="Z73" s="32" t="n">
        <v>2.065</v>
      </c>
      <c r="AA73" s="27" t="inlineStr">
        <is>
          <t>I. 2R..3R</t>
        </is>
      </c>
      <c r="AB73" s="31" t="n">
        <v>8.9</v>
      </c>
      <c r="AC73" s="31" t="n">
        <v>0</v>
      </c>
      <c r="AD73" s="33" t="n">
        <v>8.9</v>
      </c>
      <c r="AE73" s="27" t="inlineStr">
        <is>
          <t>Win</t>
        </is>
      </c>
      <c r="AF73" s="27" t="inlineStr">
        <is>
          <t>Take Profit</t>
        </is>
      </c>
      <c r="AG73" s="30" t="n">
        <v>2575</v>
      </c>
      <c r="AH73" s="31" t="n">
        <v>8.92</v>
      </c>
      <c r="AI73" s="31" t="n">
        <v>-0.96</v>
      </c>
      <c r="AJ73" s="28" t="n">
        <v>2.07</v>
      </c>
      <c r="AK73" s="28" t="n">
        <v>-0.223</v>
      </c>
      <c r="AL73" s="28" t="n">
        <v>26238.53</v>
      </c>
      <c r="AM73" s="28" t="n">
        <v>26210.03</v>
      </c>
      <c r="AN73" s="27" t="inlineStr">
        <is>
          <t>5m 53s</t>
        </is>
      </c>
      <c r="AO73" s="27" t="inlineStr">
        <is>
          <t>8.8s</t>
        </is>
      </c>
      <c r="AP73" s="34" t="n">
        <v>22.3</v>
      </c>
      <c r="AQ73" s="28" t="n">
        <v>0.998</v>
      </c>
      <c r="AR73" s="31" t="n">
        <v>0.02</v>
      </c>
      <c r="AS73" s="28" t="n">
        <v>0.9035</v>
      </c>
      <c r="AT73" s="28" t="n">
        <v>1</v>
      </c>
      <c r="AU73" s="28" t="n">
        <v>0.9035</v>
      </c>
      <c r="AV73" s="27" t="inlineStr">
        <is>
          <t>No</t>
        </is>
      </c>
      <c r="AW73" s="27" t="inlineStr">
        <is>
          <t>No</t>
        </is>
      </c>
      <c r="AX73" s="35" t="n">
        <v>0.402</v>
      </c>
      <c r="AY73" s="31" t="n">
        <v>1080.52</v>
      </c>
      <c r="AZ73" s="31" t="n">
        <v>13.62</v>
      </c>
      <c r="BA73" s="34" t="n">
        <v>1.245</v>
      </c>
      <c r="BB73" s="36" t="n">
        <v>2</v>
      </c>
      <c r="BC73" s="27" t="inlineStr">
        <is>
          <t>ticks</t>
        </is>
      </c>
      <c r="BD73" s="24" t="n">
        <v>457</v>
      </c>
      <c r="BE73" s="24" t="n">
        <v>9</v>
      </c>
      <c r="BF73" s="27" t="inlineStr">
        <is>
          <t>3214929/DAXEUR/2026-08-04_57182998_DAXEUR_buy_win</t>
        </is>
      </c>
      <c r="BG73" s="27" t="n"/>
    </row>
    <row r="74" ht="16" customHeight="1">
      <c r="A74" s="24" t="n">
        <v>73</v>
      </c>
      <c r="B74" s="26" t="n">
        <v>57186051</v>
      </c>
      <c r="C74" s="27" t="inlineStr">
        <is>
          <t>DAXEUR</t>
        </is>
      </c>
      <c r="D74" s="27" t="inlineStr">
        <is>
          <t>sell</t>
        </is>
      </c>
      <c r="E74" s="28" t="n">
        <v>0.05</v>
      </c>
      <c r="F74" s="29" t="n">
        <v>46238.31489577546</v>
      </c>
      <c r="G74" s="29" t="n">
        <v>46238.32223361111</v>
      </c>
      <c r="H74" s="27" t="inlineStr">
        <is>
          <t>Tuesday</t>
        </is>
      </c>
      <c r="I74" s="26" t="n">
        <v>7</v>
      </c>
      <c r="J74" s="27" t="inlineStr">
        <is>
          <t>Asia</t>
        </is>
      </c>
      <c r="K74" s="27" t="inlineStr">
        <is>
          <t>2026-W32</t>
        </is>
      </c>
      <c r="L74" s="27" t="inlineStr">
        <is>
          <t>2026-08</t>
        </is>
      </c>
      <c r="M74" s="27" t="inlineStr">
        <is>
          <t>10m 34s</t>
        </is>
      </c>
      <c r="N74" s="30" t="n">
        <v>633.989000082016</v>
      </c>
      <c r="O74" s="28" t="n">
        <v>10.566</v>
      </c>
      <c r="P74" s="27" t="inlineStr">
        <is>
          <t>C. 5-15 min</t>
        </is>
      </c>
      <c r="Q74" s="28" t="n">
        <v>26258.03</v>
      </c>
      <c r="R74" s="28" t="n">
        <v>26222.78</v>
      </c>
      <c r="S74" s="28" t="n">
        <v>26275.4</v>
      </c>
      <c r="T74" s="28" t="n">
        <v>26223.19</v>
      </c>
      <c r="U74" s="28" t="n">
        <v>26275.4</v>
      </c>
      <c r="V74" s="27" t="inlineStr">
        <is>
          <t>Unchanged</t>
        </is>
      </c>
      <c r="W74" s="30" t="n">
        <v>0</v>
      </c>
      <c r="X74" s="31" t="n">
        <v>10.02</v>
      </c>
      <c r="Y74" s="28" t="n">
        <v>2.006</v>
      </c>
      <c r="Z74" s="32" t="n">
        <v>2.025</v>
      </c>
      <c r="AA74" s="27" t="inlineStr">
        <is>
          <t>I. 2R..3R</t>
        </is>
      </c>
      <c r="AB74" s="31" t="n">
        <v>20.29</v>
      </c>
      <c r="AC74" s="31" t="n">
        <v>0</v>
      </c>
      <c r="AD74" s="33" t="n">
        <v>20.29</v>
      </c>
      <c r="AE74" s="27" t="inlineStr">
        <is>
          <t>Win</t>
        </is>
      </c>
      <c r="AF74" s="27" t="inlineStr">
        <is>
          <t>Take Profit</t>
        </is>
      </c>
      <c r="AG74" s="30" t="n">
        <v>3525</v>
      </c>
      <c r="AH74" s="31" t="n">
        <v>20.34</v>
      </c>
      <c r="AI74" s="31" t="n">
        <v>-2.17</v>
      </c>
      <c r="AJ74" s="28" t="n">
        <v>2.03</v>
      </c>
      <c r="AK74" s="28" t="n">
        <v>-0.217</v>
      </c>
      <c r="AL74" s="28" t="n">
        <v>26222.78</v>
      </c>
      <c r="AM74" s="28" t="n">
        <v>26261.78</v>
      </c>
      <c r="AN74" s="27" t="inlineStr">
        <is>
          <t>10m 34s</t>
        </is>
      </c>
      <c r="AO74" s="27" t="inlineStr">
        <is>
          <t>19s</t>
        </is>
      </c>
      <c r="AP74" s="34" t="n">
        <v>21.7</v>
      </c>
      <c r="AQ74" s="28" t="n">
        <v>0.998</v>
      </c>
      <c r="AR74" s="31" t="n">
        <v>0.05</v>
      </c>
      <c r="AS74" s="28" t="n">
        <v>0.9038</v>
      </c>
      <c r="AT74" s="28" t="n">
        <v>1</v>
      </c>
      <c r="AU74" s="28" t="n">
        <v>0.9038</v>
      </c>
      <c r="AV74" s="27" t="inlineStr">
        <is>
          <t>No</t>
        </is>
      </c>
      <c r="AW74" s="27" t="inlineStr">
        <is>
          <t>No</t>
        </is>
      </c>
      <c r="AX74" s="35" t="n">
        <v>0.927</v>
      </c>
      <c r="AY74" s="31" t="n">
        <v>1100.81</v>
      </c>
      <c r="AZ74" s="31" t="n">
        <v>0</v>
      </c>
      <c r="BA74" s="34" t="n">
        <v>0</v>
      </c>
      <c r="BB74" s="36" t="n">
        <v>3</v>
      </c>
      <c r="BC74" s="27" t="inlineStr">
        <is>
          <t>ticks</t>
        </is>
      </c>
      <c r="BD74" s="24" t="n">
        <v>821</v>
      </c>
      <c r="BE74" s="24" t="n">
        <v>9</v>
      </c>
      <c r="BF74" s="27" t="inlineStr">
        <is>
          <t>3214929/DAXEUR/2026-08-04_57186051_DAXEUR_sell_win</t>
        </is>
      </c>
      <c r="BG74" s="27" t="n"/>
    </row>
  </sheetData>
  <conditionalFormatting sqref="AD2:AD74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Z2:Z74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AE2:AE74">
    <cfRule type="cellIs" priority="5" operator="equal" dxfId="2">
      <formula>"Win"</formula>
    </cfRule>
    <cfRule type="cellIs" priority="6" operator="equal" dxfId="3">
      <formula>"Loss"</formula>
    </cfRule>
  </conditionalFormatting>
  <conditionalFormatting sqref="AP2:AP74">
    <cfRule type="cellIs" priority="7" operator="greaterThanOrEqual" dxfId="1">
      <formula>100</formula>
    </cfRule>
  </conditionalFormatting>
  <conditionalFormatting sqref="AH2:AH74">
    <cfRule type="dataBar" priority="8">
      <dataBar showValue="1">
        <cfvo type="num" val="0"/>
        <cfvo type="max"/>
        <color rgb="000D9488"/>
      </dataBar>
    </cfRule>
  </conditionalFormatting>
  <conditionalFormatting sqref="AI2:AI74">
    <cfRule type="dataBar" priority="9">
      <dataBar showValue="1">
        <cfvo type="min"/>
        <cfvo type="num" val="0"/>
        <color rgb="00DC2626"/>
      </dataBar>
    </cfRule>
  </conditionalFormatting>
  <conditionalFormatting sqref="AQ2:AQ74">
    <cfRule type="colorScale" priority="10">
      <colorScale>
        <cfvo type="num" val="0"/>
        <cfvo type="num" val="0.5"/>
        <cfvo type="num" val="1"/>
        <color rgb="00FECACA"/>
        <color rgb="00FEF3C7"/>
        <color rgb="00A7F3D0"/>
      </colorScale>
    </cfRule>
  </conditionalFormatting>
  <conditionalFormatting sqref="AZ2:AZ74">
    <cfRule type="dataBar" priority="11">
      <dataBar showValue="1">
        <cfvo type="num" val="0"/>
        <cfvo type="max"/>
        <color rgb="00FCA5A5"/>
      </dataBar>
    </cfRule>
  </conditionalFormatting>
  <conditionalFormatting sqref="AX2:AX74">
    <cfRule type="cellIs" priority="12" operator="greaterThan" dxfId="4">
      <formula>2</formula>
    </cfRule>
  </conditionalFormatting>
  <printOptions horizontalCentered="1"/>
  <pageMargins left="0.75" right="0.75" top="1" bottom="1" header="0.5" footer="0.5"/>
  <pageSetup orientation="landscape" paperSize="9" fitToHeight="0" fitToWidth="0"/>
  <headerFooter>
    <oddHeader/>
    <oddFooter>&amp;L&amp;8 &amp;K475569MT5 Position Studio · account 3214929&amp;R&amp;8 &amp;K475569&amp;P /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8" customWidth="1" min="3" max="3"/>
    <col width="9" customWidth="1" min="4" max="4"/>
    <col width="12" customWidth="1" min="5" max="5"/>
    <col width="11" customWidth="1" min="6" max="6"/>
    <col width="9" customWidth="1" min="7" max="7"/>
    <col width="12" customWidth="1" min="8" max="8"/>
    <col width="10" customWidth="1" min="9" max="9"/>
    <col width="10" customWidth="1" min="10" max="10"/>
    <col width="13" customWidth="1" min="11" max="11"/>
    <col width="12" customWidth="1" min="12" max="12"/>
  </cols>
  <sheetData>
    <row r="1" ht="34" customHeight="1">
      <c r="A1" s="1" t="inlineStr">
        <is>
          <t>What is making and losing the money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Live formula grids over the Trades table. Both dropdowns apply to every grid on the sheet.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4" t="inlineStr">
        <is>
          <t>Filters</t>
        </is>
      </c>
      <c r="C4" s="37" t="inlineStr">
        <is>
          <t>Symbol</t>
        </is>
      </c>
      <c r="D4" s="38" t="inlineStr">
        <is>
          <t>(All)</t>
        </is>
      </c>
      <c r="F4" s="37" t="inlineStr">
        <is>
          <t>Outcome</t>
        </is>
      </c>
      <c r="G4" s="38" t="inlineStr">
        <is>
          <t>(All)</t>
        </is>
      </c>
      <c r="I4" s="39" t="inlineStr">
        <is>
          <t>Change either dropdown - every grid below recalculates.</t>
        </is>
      </c>
    </row>
    <row r="6">
      <c r="A6" s="4" t="inlineStr">
        <is>
          <t>By symbol</t>
        </is>
      </c>
      <c r="E6" s="39" t="inlineStr">
        <is>
          <t>Concentration check: one instrument carrying the account is a risk, not a strength.</t>
        </is>
      </c>
    </row>
    <row r="7" ht="28" customHeight="1">
      <c r="A7" s="22" t="inlineStr">
        <is>
          <t>Symbol</t>
        </is>
      </c>
      <c r="B7" s="22" t="inlineStr">
        <is>
          <t>Trades</t>
        </is>
      </c>
      <c r="C7" s="22" t="inlineStr">
        <is>
          <t>Wins</t>
        </is>
      </c>
      <c r="D7" s="22" t="inlineStr">
        <is>
          <t>Win %</t>
        </is>
      </c>
      <c r="E7" s="22" t="inlineStr">
        <is>
          <t>Net</t>
        </is>
      </c>
      <c r="F7" s="22" t="inlineStr">
        <is>
          <t>Expectancy</t>
        </is>
      </c>
      <c r="G7" s="22" t="inlineStr">
        <is>
          <t>Avg R</t>
        </is>
      </c>
      <c r="H7" s="22" t="inlineStr">
        <is>
          <t>Profit factor</t>
        </is>
      </c>
      <c r="I7" s="22" t="inlineStr">
        <is>
          <t>Avg MFE</t>
        </is>
      </c>
      <c r="J7" s="22" t="inlineStr">
        <is>
          <t>Avg MAE</t>
        </is>
      </c>
      <c r="K7" s="22" t="inlineStr">
        <is>
          <t>Avg dur (min)</t>
        </is>
      </c>
      <c r="L7" s="22" t="inlineStr">
        <is>
          <t>Share of net</t>
        </is>
      </c>
    </row>
    <row r="8" ht="16" customHeight="1">
      <c r="A8" s="23" t="inlineStr">
        <is>
          <t>DAXEUR</t>
        </is>
      </c>
      <c r="B8" s="24">
        <f>COUNTIFS(Trades!$C$2:$C$74,$A$8,Trades!$C$2:$C$74,IF($D$4="(All)","*",$D$4),Trades!$AE$2:$AE$74,IF($G$4="(All)","*",$G$4))</f>
        <v/>
      </c>
      <c r="C8" s="24">
        <f>COUNTIFS(Trades!$AE$2:$AE$74,"Win",Trades!$C$2:$C$74,$A$8,Trades!$C$2:$C$74,IF($D$4="(All)","*",$D$4),Trades!$AE$2:$AE$74,IF($G$4="(All)","*",$G$4))</f>
        <v/>
      </c>
      <c r="D8" s="34">
        <f>IFERROR(C8/B8*100,"")</f>
        <v/>
      </c>
      <c r="E8" s="33">
        <f>SUMIFS(Trades!$AD$2:$AD$74,Trades!$C$2:$C$74,$A$8,Trades!$C$2:$C$74,IF($D$4="(All)","*",$D$4),Trades!$AE$2:$AE$74,IF($G$4="(All)","*",$G$4))</f>
        <v/>
      </c>
      <c r="F8" s="33">
        <f>IFERROR(E8/B8,"")</f>
        <v/>
      </c>
      <c r="G8" s="32">
        <f>IFERROR(AVERAGEIFS(Trades!$Z$2:$Z$74,Trades!$C$2:$C$74,$A$8,Trades!$C$2:$C$74,IF($D$4="(All)","*",$D$4),Trades!$AE$2:$AE$74,IF($G$4="(All)","*",$G$4)),"")</f>
        <v/>
      </c>
      <c r="H8" s="28">
        <f>IFERROR(SUMIFS(Trades!$AD$2:$AD$74,Trades!$C$2:$C$74,$A$8,Trades!$AD$2:$AD$74,"&gt;0",Trades!$C$2:$C$74,IF($D$4="(All)","*",$D$4),Trades!$AE$2:$AE$74,IF($G$4="(All)","*",$G$4))/-SUMIFS(Trades!$AD$2:$AD$74,Trades!$C$2:$C$74,$A$8,Trades!$AD$2:$AD$74,"&lt;0",Trades!$C$2:$C$74,IF($D$4="(All)","*",$D$4),Trades!$AE$2:$AE$74,IF($G$4="(All)","*",$G$4)),"")</f>
        <v/>
      </c>
      <c r="I8" s="31">
        <f>IFERROR(AVERAGEIFS(Trades!$AH$2:$AH$74,Trades!$C$2:$C$74,$A$8,Trades!$C$2:$C$74,IF($D$4="(All)","*",$D$4),Trades!$AE$2:$AE$74,IF($G$4="(All)","*",$G$4)),"")</f>
        <v/>
      </c>
      <c r="J8" s="31">
        <f>IFERROR(AVERAGEIFS(Trades!$AI$2:$AI$74,Trades!$C$2:$C$74,$A$8,Trades!$C$2:$C$74,IF($D$4="(All)","*",$D$4),Trades!$AE$2:$AE$74,IF($G$4="(All)","*",$G$4)),"")</f>
        <v/>
      </c>
      <c r="K8" s="30">
        <f>IFERROR(AVERAGEIFS(Trades!$O$2:$O$74,Trades!$C$2:$C$74,$A$8,Trades!$C$2:$C$74,IF($D$4="(All)","*",$D$4),Trades!$AE$2:$AE$74,IF($G$4="(All)","*",$G$4)),"")</f>
        <v/>
      </c>
      <c r="L8" s="34">
        <f>IFERROR(E8/SUMIFS(Trades!$AD$2:$AD$74,Trades!$C$2:$C$74,IF($D$4="(All)","*",$D$4),Trades!$AE$2:$AE$74,IF($G$4="(All)","*",$G$4))*100,"")</f>
        <v/>
      </c>
    </row>
    <row r="9" ht="16" customHeight="1">
      <c r="A9" s="23" t="inlineStr">
        <is>
          <t>DJIUSD</t>
        </is>
      </c>
      <c r="B9" s="24">
        <f>COUNTIFS(Trades!$C$2:$C$74,$A$9,Trades!$C$2:$C$74,IF($D$4="(All)","*",$D$4),Trades!$AE$2:$AE$74,IF($G$4="(All)","*",$G$4))</f>
        <v/>
      </c>
      <c r="C9" s="24">
        <f>COUNTIFS(Trades!$AE$2:$AE$74,"Win",Trades!$C$2:$C$74,$A$9,Trades!$C$2:$C$74,IF($D$4="(All)","*",$D$4),Trades!$AE$2:$AE$74,IF($G$4="(All)","*",$G$4))</f>
        <v/>
      </c>
      <c r="D9" s="34">
        <f>IFERROR(C9/B9*100,"")</f>
        <v/>
      </c>
      <c r="E9" s="33">
        <f>SUMIFS(Trades!$AD$2:$AD$74,Trades!$C$2:$C$74,$A$9,Trades!$C$2:$C$74,IF($D$4="(All)","*",$D$4),Trades!$AE$2:$AE$74,IF($G$4="(All)","*",$G$4))</f>
        <v/>
      </c>
      <c r="F9" s="33">
        <f>IFERROR(E9/B9,"")</f>
        <v/>
      </c>
      <c r="G9" s="32">
        <f>IFERROR(AVERAGEIFS(Trades!$Z$2:$Z$74,Trades!$C$2:$C$74,$A$9,Trades!$C$2:$C$74,IF($D$4="(All)","*",$D$4),Trades!$AE$2:$AE$74,IF($G$4="(All)","*",$G$4)),"")</f>
        <v/>
      </c>
      <c r="H9" s="28">
        <f>IFERROR(SUMIFS(Trades!$AD$2:$AD$74,Trades!$C$2:$C$74,$A$9,Trades!$AD$2:$AD$74,"&gt;0",Trades!$C$2:$C$74,IF($D$4="(All)","*",$D$4),Trades!$AE$2:$AE$74,IF($G$4="(All)","*",$G$4))/-SUMIFS(Trades!$AD$2:$AD$74,Trades!$C$2:$C$74,$A$9,Trades!$AD$2:$AD$74,"&lt;0",Trades!$C$2:$C$74,IF($D$4="(All)","*",$D$4),Trades!$AE$2:$AE$74,IF($G$4="(All)","*",$G$4)),"")</f>
        <v/>
      </c>
      <c r="I9" s="31">
        <f>IFERROR(AVERAGEIFS(Trades!$AH$2:$AH$74,Trades!$C$2:$C$74,$A$9,Trades!$C$2:$C$74,IF($D$4="(All)","*",$D$4),Trades!$AE$2:$AE$74,IF($G$4="(All)","*",$G$4)),"")</f>
        <v/>
      </c>
      <c r="J9" s="31">
        <f>IFERROR(AVERAGEIFS(Trades!$AI$2:$AI$74,Trades!$C$2:$C$74,$A$9,Trades!$C$2:$C$74,IF($D$4="(All)","*",$D$4),Trades!$AE$2:$AE$74,IF($G$4="(All)","*",$G$4)),"")</f>
        <v/>
      </c>
      <c r="K9" s="30">
        <f>IFERROR(AVERAGEIFS(Trades!$O$2:$O$74,Trades!$C$2:$C$74,$A$9,Trades!$C$2:$C$74,IF($D$4="(All)","*",$D$4),Trades!$AE$2:$AE$74,IF($G$4="(All)","*",$G$4)),"")</f>
        <v/>
      </c>
      <c r="L9" s="34">
        <f>IFERROR(E9/SUMIFS(Trades!$AD$2:$AD$74,Trades!$C$2:$C$74,IF($D$4="(All)","*",$D$4),Trades!$AE$2:$AE$74,IF($G$4="(All)","*",$G$4))*100,"")</f>
        <v/>
      </c>
    </row>
    <row r="10" ht="16" customHeight="1">
      <c r="A10" s="23" t="inlineStr">
        <is>
          <t>NDXUSD</t>
        </is>
      </c>
      <c r="B10" s="24">
        <f>COUNTIFS(Trades!$C$2:$C$74,$A$10,Trades!$C$2:$C$74,IF($D$4="(All)","*",$D$4),Trades!$AE$2:$AE$74,IF($G$4="(All)","*",$G$4))</f>
        <v/>
      </c>
      <c r="C10" s="24">
        <f>COUNTIFS(Trades!$AE$2:$AE$74,"Win",Trades!$C$2:$C$74,$A$10,Trades!$C$2:$C$74,IF($D$4="(All)","*",$D$4),Trades!$AE$2:$AE$74,IF($G$4="(All)","*",$G$4))</f>
        <v/>
      </c>
      <c r="D10" s="34">
        <f>IFERROR(C10/B10*100,"")</f>
        <v/>
      </c>
      <c r="E10" s="33">
        <f>SUMIFS(Trades!$AD$2:$AD$74,Trades!$C$2:$C$74,$A$10,Trades!$C$2:$C$74,IF($D$4="(All)","*",$D$4),Trades!$AE$2:$AE$74,IF($G$4="(All)","*",$G$4))</f>
        <v/>
      </c>
      <c r="F10" s="33">
        <f>IFERROR(E10/B10,"")</f>
        <v/>
      </c>
      <c r="G10" s="32">
        <f>IFERROR(AVERAGEIFS(Trades!$Z$2:$Z$74,Trades!$C$2:$C$74,$A$10,Trades!$C$2:$C$74,IF($D$4="(All)","*",$D$4),Trades!$AE$2:$AE$74,IF($G$4="(All)","*",$G$4)),"")</f>
        <v/>
      </c>
      <c r="H10" s="28">
        <f>IFERROR(SUMIFS(Trades!$AD$2:$AD$74,Trades!$C$2:$C$74,$A$10,Trades!$AD$2:$AD$74,"&gt;0",Trades!$C$2:$C$74,IF($D$4="(All)","*",$D$4),Trades!$AE$2:$AE$74,IF($G$4="(All)","*",$G$4))/-SUMIFS(Trades!$AD$2:$AD$74,Trades!$C$2:$C$74,$A$10,Trades!$AD$2:$AD$74,"&lt;0",Trades!$C$2:$C$74,IF($D$4="(All)","*",$D$4),Trades!$AE$2:$AE$74,IF($G$4="(All)","*",$G$4)),"")</f>
        <v/>
      </c>
      <c r="I10" s="31">
        <f>IFERROR(AVERAGEIFS(Trades!$AH$2:$AH$74,Trades!$C$2:$C$74,$A$10,Trades!$C$2:$C$74,IF($D$4="(All)","*",$D$4),Trades!$AE$2:$AE$74,IF($G$4="(All)","*",$G$4)),"")</f>
        <v/>
      </c>
      <c r="J10" s="31">
        <f>IFERROR(AVERAGEIFS(Trades!$AI$2:$AI$74,Trades!$C$2:$C$74,$A$10,Trades!$C$2:$C$74,IF($D$4="(All)","*",$D$4),Trades!$AE$2:$AE$74,IF($G$4="(All)","*",$G$4)),"")</f>
        <v/>
      </c>
      <c r="K10" s="30">
        <f>IFERROR(AVERAGEIFS(Trades!$O$2:$O$74,Trades!$C$2:$C$74,$A$10,Trades!$C$2:$C$74,IF($D$4="(All)","*",$D$4),Trades!$AE$2:$AE$74,IF($G$4="(All)","*",$G$4)),"")</f>
        <v/>
      </c>
      <c r="L10" s="34">
        <f>IFERROR(E10/SUMIFS(Trades!$AD$2:$AD$74,Trades!$C$2:$C$74,IF($D$4="(All)","*",$D$4),Trades!$AE$2:$AE$74,IF($G$4="(All)","*",$G$4))*100,"")</f>
        <v/>
      </c>
    </row>
    <row r="11" ht="16" customHeight="1">
      <c r="A11" s="23" t="inlineStr">
        <is>
          <t>NIKJPY</t>
        </is>
      </c>
      <c r="B11" s="24">
        <f>COUNTIFS(Trades!$C$2:$C$74,$A$11,Trades!$C$2:$C$74,IF($D$4="(All)","*",$D$4),Trades!$AE$2:$AE$74,IF($G$4="(All)","*",$G$4))</f>
        <v/>
      </c>
      <c r="C11" s="24">
        <f>COUNTIFS(Trades!$AE$2:$AE$74,"Win",Trades!$C$2:$C$74,$A$11,Trades!$C$2:$C$74,IF($D$4="(All)","*",$D$4),Trades!$AE$2:$AE$74,IF($G$4="(All)","*",$G$4))</f>
        <v/>
      </c>
      <c r="D11" s="34">
        <f>IFERROR(C11/B11*100,"")</f>
        <v/>
      </c>
      <c r="E11" s="33">
        <f>SUMIFS(Trades!$AD$2:$AD$74,Trades!$C$2:$C$74,$A$11,Trades!$C$2:$C$74,IF($D$4="(All)","*",$D$4),Trades!$AE$2:$AE$74,IF($G$4="(All)","*",$G$4))</f>
        <v/>
      </c>
      <c r="F11" s="33">
        <f>IFERROR(E11/B11,"")</f>
        <v/>
      </c>
      <c r="G11" s="32">
        <f>IFERROR(AVERAGEIFS(Trades!$Z$2:$Z$74,Trades!$C$2:$C$74,$A$11,Trades!$C$2:$C$74,IF($D$4="(All)","*",$D$4),Trades!$AE$2:$AE$74,IF($G$4="(All)","*",$G$4)),"")</f>
        <v/>
      </c>
      <c r="H11" s="28">
        <f>IFERROR(SUMIFS(Trades!$AD$2:$AD$74,Trades!$C$2:$C$74,$A$11,Trades!$AD$2:$AD$74,"&gt;0",Trades!$C$2:$C$74,IF($D$4="(All)","*",$D$4),Trades!$AE$2:$AE$74,IF($G$4="(All)","*",$G$4))/-SUMIFS(Trades!$AD$2:$AD$74,Trades!$C$2:$C$74,$A$11,Trades!$AD$2:$AD$74,"&lt;0",Trades!$C$2:$C$74,IF($D$4="(All)","*",$D$4),Trades!$AE$2:$AE$74,IF($G$4="(All)","*",$G$4)),"")</f>
        <v/>
      </c>
      <c r="I11" s="31">
        <f>IFERROR(AVERAGEIFS(Trades!$AH$2:$AH$74,Trades!$C$2:$C$74,$A$11,Trades!$C$2:$C$74,IF($D$4="(All)","*",$D$4),Trades!$AE$2:$AE$74,IF($G$4="(All)","*",$G$4)),"")</f>
        <v/>
      </c>
      <c r="J11" s="31">
        <f>IFERROR(AVERAGEIFS(Trades!$AI$2:$AI$74,Trades!$C$2:$C$74,$A$11,Trades!$C$2:$C$74,IF($D$4="(All)","*",$D$4),Trades!$AE$2:$AE$74,IF($G$4="(All)","*",$G$4)),"")</f>
        <v/>
      </c>
      <c r="K11" s="30">
        <f>IFERROR(AVERAGEIFS(Trades!$O$2:$O$74,Trades!$C$2:$C$74,$A$11,Trades!$C$2:$C$74,IF($D$4="(All)","*",$D$4),Trades!$AE$2:$AE$74,IF($G$4="(All)","*",$G$4)),"")</f>
        <v/>
      </c>
      <c r="L11" s="34">
        <f>IFERROR(E11/SUMIFS(Trades!$AD$2:$AD$74,Trades!$C$2:$C$74,IF($D$4="(All)","*",$D$4),Trades!$AE$2:$AE$74,IF($G$4="(All)","*",$G$4))*100,"")</f>
        <v/>
      </c>
    </row>
    <row r="12" ht="16" customHeight="1">
      <c r="A12" s="23" t="inlineStr">
        <is>
          <t>XAUUSD</t>
        </is>
      </c>
      <c r="B12" s="24">
        <f>COUNTIFS(Trades!$C$2:$C$74,$A$12,Trades!$C$2:$C$74,IF($D$4="(All)","*",$D$4),Trades!$AE$2:$AE$74,IF($G$4="(All)","*",$G$4))</f>
        <v/>
      </c>
      <c r="C12" s="24">
        <f>COUNTIFS(Trades!$AE$2:$AE$74,"Win",Trades!$C$2:$C$74,$A$12,Trades!$C$2:$C$74,IF($D$4="(All)","*",$D$4),Trades!$AE$2:$AE$74,IF($G$4="(All)","*",$G$4))</f>
        <v/>
      </c>
      <c r="D12" s="34">
        <f>IFERROR(C12/B12*100,"")</f>
        <v/>
      </c>
      <c r="E12" s="33">
        <f>SUMIFS(Trades!$AD$2:$AD$74,Trades!$C$2:$C$74,$A$12,Trades!$C$2:$C$74,IF($D$4="(All)","*",$D$4),Trades!$AE$2:$AE$74,IF($G$4="(All)","*",$G$4))</f>
        <v/>
      </c>
      <c r="F12" s="33">
        <f>IFERROR(E12/B12,"")</f>
        <v/>
      </c>
      <c r="G12" s="32">
        <f>IFERROR(AVERAGEIFS(Trades!$Z$2:$Z$74,Trades!$C$2:$C$74,$A$12,Trades!$C$2:$C$74,IF($D$4="(All)","*",$D$4),Trades!$AE$2:$AE$74,IF($G$4="(All)","*",$G$4)),"")</f>
        <v/>
      </c>
      <c r="H12" s="28">
        <f>IFERROR(SUMIFS(Trades!$AD$2:$AD$74,Trades!$C$2:$C$74,$A$12,Trades!$AD$2:$AD$74,"&gt;0",Trades!$C$2:$C$74,IF($D$4="(All)","*",$D$4),Trades!$AE$2:$AE$74,IF($G$4="(All)","*",$G$4))/-SUMIFS(Trades!$AD$2:$AD$74,Trades!$C$2:$C$74,$A$12,Trades!$AD$2:$AD$74,"&lt;0",Trades!$C$2:$C$74,IF($D$4="(All)","*",$D$4),Trades!$AE$2:$AE$74,IF($G$4="(All)","*",$G$4)),"")</f>
        <v/>
      </c>
      <c r="I12" s="31">
        <f>IFERROR(AVERAGEIFS(Trades!$AH$2:$AH$74,Trades!$C$2:$C$74,$A$12,Trades!$C$2:$C$74,IF($D$4="(All)","*",$D$4),Trades!$AE$2:$AE$74,IF($G$4="(All)","*",$G$4)),"")</f>
        <v/>
      </c>
      <c r="J12" s="31">
        <f>IFERROR(AVERAGEIFS(Trades!$AI$2:$AI$74,Trades!$C$2:$C$74,$A$12,Trades!$C$2:$C$74,IF($D$4="(All)","*",$D$4),Trades!$AE$2:$AE$74,IF($G$4="(All)","*",$G$4)),"")</f>
        <v/>
      </c>
      <c r="K12" s="30">
        <f>IFERROR(AVERAGEIFS(Trades!$O$2:$O$74,Trades!$C$2:$C$74,$A$12,Trades!$C$2:$C$74,IF($D$4="(All)","*",$D$4),Trades!$AE$2:$AE$74,IF($G$4="(All)","*",$G$4)),"")</f>
        <v/>
      </c>
      <c r="L12" s="34">
        <f>IFERROR(E12/SUMIFS(Trades!$AD$2:$AD$74,Trades!$C$2:$C$74,IF($D$4="(All)","*",$D$4),Trades!$AE$2:$AE$74,IF($G$4="(All)","*",$G$4))*100,"")</f>
        <v/>
      </c>
    </row>
    <row r="13">
      <c r="A13" s="40" t="inlineStr">
        <is>
          <t>All trades</t>
        </is>
      </c>
      <c r="B13" s="41">
        <f>COUNTIFS(Trades!$C$2:$C$74,IF($D$4="(All)","*",$D$4),Trades!$AE$2:$AE$74,IF($G$4="(All)","*",$G$4))</f>
        <v/>
      </c>
      <c r="C13" s="41">
        <f>COUNTIFS(Trades!$AE$2:$AE$74,"Win",Trades!$C$2:$C$74,IF($D$4="(All)","*",$D$4),Trades!$AE$2:$AE$74,IF($G$4="(All)","*",$G$4))</f>
        <v/>
      </c>
      <c r="D13" s="42">
        <f>IFERROR(C13/B13*100,"")</f>
        <v/>
      </c>
      <c r="E13" s="43">
        <f>SUMIFS(Trades!$AD$2:$AD$74,Trades!$C$2:$C$74,IF($D$4="(All)","*",$D$4),Trades!$AE$2:$AE$74,IF($G$4="(All)","*",$G$4))</f>
        <v/>
      </c>
      <c r="F13" s="43">
        <f>IFERROR(E13/B13,"")</f>
        <v/>
      </c>
      <c r="G13" s="44">
        <f>IFERROR(AVERAGEIFS(Trades!$Z$2:$Z$74,Trades!$C$2:$C$74,IF($D$4="(All)","*",$D$4),Trades!$AE$2:$AE$74,IF($G$4="(All)","*",$G$4)),"")</f>
        <v/>
      </c>
      <c r="H13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13" s="46">
        <f>IFERROR(AVERAGEIFS(Trades!$AH$2:$AH$74,Trades!$C$2:$C$74,IF($D$4="(All)","*",$D$4),Trades!$AE$2:$AE$74,IF($G$4="(All)","*",$G$4)),"")</f>
        <v/>
      </c>
      <c r="J13" s="46">
        <f>IFERROR(AVERAGEIFS(Trades!$AI$2:$AI$74,Trades!$C$2:$C$74,IF($D$4="(All)","*",$D$4),Trades!$AE$2:$AE$74,IF($G$4="(All)","*",$G$4)),"")</f>
        <v/>
      </c>
      <c r="K13" s="47">
        <f>IFERROR(AVERAGEIFS(Trades!$O$2:$O$74,Trades!$C$2:$C$74,IF($D$4="(All)","*",$D$4),Trades!$AE$2:$AE$74,IF($G$4="(All)","*",$G$4)),"")</f>
        <v/>
      </c>
      <c r="L13" s="42">
        <f>IFERROR(E13/SUMIFS(Trades!$AD$2:$AD$74,Trades!$C$2:$C$74,IF($D$4="(All)","*",$D$4),Trades!$AE$2:$AE$74,IF($G$4="(All)","*",$G$4))*100,"")</f>
        <v/>
      </c>
    </row>
    <row r="16">
      <c r="A16" s="4" t="inlineStr">
        <is>
          <t>By side</t>
        </is>
      </c>
      <c r="E16" s="39" t="inlineStr">
        <is>
          <t>A large gap between buy and sell says the edge is directional, not systematic.</t>
        </is>
      </c>
    </row>
    <row r="17" ht="28" customHeight="1">
      <c r="A17" s="22" t="inlineStr">
        <is>
          <t>Side</t>
        </is>
      </c>
      <c r="B17" s="22" t="inlineStr">
        <is>
          <t>Trades</t>
        </is>
      </c>
      <c r="C17" s="22" t="inlineStr">
        <is>
          <t>Wins</t>
        </is>
      </c>
      <c r="D17" s="22" t="inlineStr">
        <is>
          <t>Win %</t>
        </is>
      </c>
      <c r="E17" s="22" t="inlineStr">
        <is>
          <t>Net</t>
        </is>
      </c>
      <c r="F17" s="22" t="inlineStr">
        <is>
          <t>Expectancy</t>
        </is>
      </c>
      <c r="G17" s="22" t="inlineStr">
        <is>
          <t>Avg R</t>
        </is>
      </c>
      <c r="H17" s="22" t="inlineStr">
        <is>
          <t>Profit factor</t>
        </is>
      </c>
      <c r="I17" s="22" t="inlineStr">
        <is>
          <t>Avg MFE</t>
        </is>
      </c>
      <c r="J17" s="22" t="inlineStr">
        <is>
          <t>Avg MAE</t>
        </is>
      </c>
      <c r="K17" s="22" t="inlineStr">
        <is>
          <t>Avg dur (min)</t>
        </is>
      </c>
      <c r="L17" s="22" t="inlineStr">
        <is>
          <t>Share of net</t>
        </is>
      </c>
    </row>
    <row r="18" ht="16" customHeight="1">
      <c r="A18" s="23" t="inlineStr">
        <is>
          <t>buy</t>
        </is>
      </c>
      <c r="B18" s="24">
        <f>COUNTIFS(Trades!$D$2:$D$74,$A$18,Trades!$C$2:$C$74,IF($D$4="(All)","*",$D$4),Trades!$AE$2:$AE$74,IF($G$4="(All)","*",$G$4))</f>
        <v/>
      </c>
      <c r="C18" s="24">
        <f>COUNTIFS(Trades!$AE$2:$AE$74,"Win",Trades!$D$2:$D$74,$A$18,Trades!$C$2:$C$74,IF($D$4="(All)","*",$D$4),Trades!$AE$2:$AE$74,IF($G$4="(All)","*",$G$4))</f>
        <v/>
      </c>
      <c r="D18" s="34">
        <f>IFERROR(C18/B18*100,"")</f>
        <v/>
      </c>
      <c r="E18" s="33">
        <f>SUMIFS(Trades!$AD$2:$AD$74,Trades!$D$2:$D$74,$A$18,Trades!$C$2:$C$74,IF($D$4="(All)","*",$D$4),Trades!$AE$2:$AE$74,IF($G$4="(All)","*",$G$4))</f>
        <v/>
      </c>
      <c r="F18" s="33">
        <f>IFERROR(E18/B18,"")</f>
        <v/>
      </c>
      <c r="G18" s="32">
        <f>IFERROR(AVERAGEIFS(Trades!$Z$2:$Z$74,Trades!$D$2:$D$74,$A$18,Trades!$C$2:$C$74,IF($D$4="(All)","*",$D$4),Trades!$AE$2:$AE$74,IF($G$4="(All)","*",$G$4)),"")</f>
        <v/>
      </c>
      <c r="H18" s="28">
        <f>IFERROR(SUMIFS(Trades!$AD$2:$AD$74,Trades!$D$2:$D$74,$A$18,Trades!$AD$2:$AD$74,"&gt;0",Trades!$C$2:$C$74,IF($D$4="(All)","*",$D$4),Trades!$AE$2:$AE$74,IF($G$4="(All)","*",$G$4))/-SUMIFS(Trades!$AD$2:$AD$74,Trades!$D$2:$D$74,$A$18,Trades!$AD$2:$AD$74,"&lt;0",Trades!$C$2:$C$74,IF($D$4="(All)","*",$D$4),Trades!$AE$2:$AE$74,IF($G$4="(All)","*",$G$4)),"")</f>
        <v/>
      </c>
      <c r="I18" s="31">
        <f>IFERROR(AVERAGEIFS(Trades!$AH$2:$AH$74,Trades!$D$2:$D$74,$A$18,Trades!$C$2:$C$74,IF($D$4="(All)","*",$D$4),Trades!$AE$2:$AE$74,IF($G$4="(All)","*",$G$4)),"")</f>
        <v/>
      </c>
      <c r="J18" s="31">
        <f>IFERROR(AVERAGEIFS(Trades!$AI$2:$AI$74,Trades!$D$2:$D$74,$A$18,Trades!$C$2:$C$74,IF($D$4="(All)","*",$D$4),Trades!$AE$2:$AE$74,IF($G$4="(All)","*",$G$4)),"")</f>
        <v/>
      </c>
      <c r="K18" s="30">
        <f>IFERROR(AVERAGEIFS(Trades!$O$2:$O$74,Trades!$D$2:$D$74,$A$18,Trades!$C$2:$C$74,IF($D$4="(All)","*",$D$4),Trades!$AE$2:$AE$74,IF($G$4="(All)","*",$G$4)),"")</f>
        <v/>
      </c>
      <c r="L18" s="34">
        <f>IFERROR(E18/SUMIFS(Trades!$AD$2:$AD$74,Trades!$C$2:$C$74,IF($D$4="(All)","*",$D$4),Trades!$AE$2:$AE$74,IF($G$4="(All)","*",$G$4))*100,"")</f>
        <v/>
      </c>
    </row>
    <row r="19" ht="16" customHeight="1">
      <c r="A19" s="23" t="inlineStr">
        <is>
          <t>sell</t>
        </is>
      </c>
      <c r="B19" s="24">
        <f>COUNTIFS(Trades!$D$2:$D$74,$A$19,Trades!$C$2:$C$74,IF($D$4="(All)","*",$D$4),Trades!$AE$2:$AE$74,IF($G$4="(All)","*",$G$4))</f>
        <v/>
      </c>
      <c r="C19" s="24">
        <f>COUNTIFS(Trades!$AE$2:$AE$74,"Win",Trades!$D$2:$D$74,$A$19,Trades!$C$2:$C$74,IF($D$4="(All)","*",$D$4),Trades!$AE$2:$AE$74,IF($G$4="(All)","*",$G$4))</f>
        <v/>
      </c>
      <c r="D19" s="34">
        <f>IFERROR(C19/B19*100,"")</f>
        <v/>
      </c>
      <c r="E19" s="33">
        <f>SUMIFS(Trades!$AD$2:$AD$74,Trades!$D$2:$D$74,$A$19,Trades!$C$2:$C$74,IF($D$4="(All)","*",$D$4),Trades!$AE$2:$AE$74,IF($G$4="(All)","*",$G$4))</f>
        <v/>
      </c>
      <c r="F19" s="33">
        <f>IFERROR(E19/B19,"")</f>
        <v/>
      </c>
      <c r="G19" s="32">
        <f>IFERROR(AVERAGEIFS(Trades!$Z$2:$Z$74,Trades!$D$2:$D$74,$A$19,Trades!$C$2:$C$74,IF($D$4="(All)","*",$D$4),Trades!$AE$2:$AE$74,IF($G$4="(All)","*",$G$4)),"")</f>
        <v/>
      </c>
      <c r="H19" s="28">
        <f>IFERROR(SUMIFS(Trades!$AD$2:$AD$74,Trades!$D$2:$D$74,$A$19,Trades!$AD$2:$AD$74,"&gt;0",Trades!$C$2:$C$74,IF($D$4="(All)","*",$D$4),Trades!$AE$2:$AE$74,IF($G$4="(All)","*",$G$4))/-SUMIFS(Trades!$AD$2:$AD$74,Trades!$D$2:$D$74,$A$19,Trades!$AD$2:$AD$74,"&lt;0",Trades!$C$2:$C$74,IF($D$4="(All)","*",$D$4),Trades!$AE$2:$AE$74,IF($G$4="(All)","*",$G$4)),"")</f>
        <v/>
      </c>
      <c r="I19" s="31">
        <f>IFERROR(AVERAGEIFS(Trades!$AH$2:$AH$74,Trades!$D$2:$D$74,$A$19,Trades!$C$2:$C$74,IF($D$4="(All)","*",$D$4),Trades!$AE$2:$AE$74,IF($G$4="(All)","*",$G$4)),"")</f>
        <v/>
      </c>
      <c r="J19" s="31">
        <f>IFERROR(AVERAGEIFS(Trades!$AI$2:$AI$74,Trades!$D$2:$D$74,$A$19,Trades!$C$2:$C$74,IF($D$4="(All)","*",$D$4),Trades!$AE$2:$AE$74,IF($G$4="(All)","*",$G$4)),"")</f>
        <v/>
      </c>
      <c r="K19" s="30">
        <f>IFERROR(AVERAGEIFS(Trades!$O$2:$O$74,Trades!$D$2:$D$74,$A$19,Trades!$C$2:$C$74,IF($D$4="(All)","*",$D$4),Trades!$AE$2:$AE$74,IF($G$4="(All)","*",$G$4)),"")</f>
        <v/>
      </c>
      <c r="L19" s="34">
        <f>IFERROR(E19/SUMIFS(Trades!$AD$2:$AD$74,Trades!$C$2:$C$74,IF($D$4="(All)","*",$D$4),Trades!$AE$2:$AE$74,IF($G$4="(All)","*",$G$4))*100,"")</f>
        <v/>
      </c>
    </row>
    <row r="20">
      <c r="A20" s="40" t="inlineStr">
        <is>
          <t>All trades</t>
        </is>
      </c>
      <c r="B20" s="41">
        <f>COUNTIFS(Trades!$C$2:$C$74,IF($D$4="(All)","*",$D$4),Trades!$AE$2:$AE$74,IF($G$4="(All)","*",$G$4))</f>
        <v/>
      </c>
      <c r="C20" s="41">
        <f>COUNTIFS(Trades!$AE$2:$AE$74,"Win",Trades!$C$2:$C$74,IF($D$4="(All)","*",$D$4),Trades!$AE$2:$AE$74,IF($G$4="(All)","*",$G$4))</f>
        <v/>
      </c>
      <c r="D20" s="42">
        <f>IFERROR(C20/B20*100,"")</f>
        <v/>
      </c>
      <c r="E20" s="43">
        <f>SUMIFS(Trades!$AD$2:$AD$74,Trades!$C$2:$C$74,IF($D$4="(All)","*",$D$4),Trades!$AE$2:$AE$74,IF($G$4="(All)","*",$G$4))</f>
        <v/>
      </c>
      <c r="F20" s="43">
        <f>IFERROR(E20/B20,"")</f>
        <v/>
      </c>
      <c r="G20" s="44">
        <f>IFERROR(AVERAGEIFS(Trades!$Z$2:$Z$74,Trades!$C$2:$C$74,IF($D$4="(All)","*",$D$4),Trades!$AE$2:$AE$74,IF($G$4="(All)","*",$G$4)),"")</f>
        <v/>
      </c>
      <c r="H20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20" s="46">
        <f>IFERROR(AVERAGEIFS(Trades!$AH$2:$AH$74,Trades!$C$2:$C$74,IF($D$4="(All)","*",$D$4),Trades!$AE$2:$AE$74,IF($G$4="(All)","*",$G$4)),"")</f>
        <v/>
      </c>
      <c r="J20" s="46">
        <f>IFERROR(AVERAGEIFS(Trades!$AI$2:$AI$74,Trades!$C$2:$C$74,IF($D$4="(All)","*",$D$4),Trades!$AE$2:$AE$74,IF($G$4="(All)","*",$G$4)),"")</f>
        <v/>
      </c>
      <c r="K20" s="47">
        <f>IFERROR(AVERAGEIFS(Trades!$O$2:$O$74,Trades!$C$2:$C$74,IF($D$4="(All)","*",$D$4),Trades!$AE$2:$AE$74,IF($G$4="(All)","*",$G$4)),"")</f>
        <v/>
      </c>
      <c r="L20" s="42">
        <f>IFERROR(E20/SUMIFS(Trades!$AD$2:$AD$74,Trades!$C$2:$C$74,IF($D$4="(All)","*",$D$4),Trades!$AE$2:$AE$74,IF($G$4="(All)","*",$G$4))*100,"")</f>
        <v/>
      </c>
    </row>
    <row r="23">
      <c r="A23" s="4" t="inlineStr">
        <is>
          <t>By exit reason</t>
        </is>
      </c>
      <c r="E23" s="39" t="inlineStr">
        <is>
          <t>How trades actually end, versus how they were planned to end.</t>
        </is>
      </c>
    </row>
    <row r="24" ht="28" customHeight="1">
      <c r="A24" s="22" t="inlineStr">
        <is>
          <t>Exit reason</t>
        </is>
      </c>
      <c r="B24" s="22" t="inlineStr">
        <is>
          <t>Trades</t>
        </is>
      </c>
      <c r="C24" s="22" t="inlineStr">
        <is>
          <t>Wins</t>
        </is>
      </c>
      <c r="D24" s="22" t="inlineStr">
        <is>
          <t>Win %</t>
        </is>
      </c>
      <c r="E24" s="22" t="inlineStr">
        <is>
          <t>Net</t>
        </is>
      </c>
      <c r="F24" s="22" t="inlineStr">
        <is>
          <t>Expectancy</t>
        </is>
      </c>
      <c r="G24" s="22" t="inlineStr">
        <is>
          <t>Avg R</t>
        </is>
      </c>
      <c r="H24" s="22" t="inlineStr">
        <is>
          <t>Profit factor</t>
        </is>
      </c>
      <c r="I24" s="22" t="inlineStr">
        <is>
          <t>Avg MFE</t>
        </is>
      </c>
      <c r="J24" s="22" t="inlineStr">
        <is>
          <t>Avg MAE</t>
        </is>
      </c>
      <c r="K24" s="22" t="inlineStr">
        <is>
          <t>Avg dur (min)</t>
        </is>
      </c>
      <c r="L24" s="22" t="inlineStr">
        <is>
          <t>Share of net</t>
        </is>
      </c>
    </row>
    <row r="25" ht="16" customHeight="1">
      <c r="A25" s="23" t="inlineStr">
        <is>
          <t>Expert</t>
        </is>
      </c>
      <c r="B25" s="24">
        <f>COUNTIFS(Trades!$AF$2:$AF$74,$A$25,Trades!$C$2:$C$74,IF($D$4="(All)","*",$D$4),Trades!$AE$2:$AE$74,IF($G$4="(All)","*",$G$4))</f>
        <v/>
      </c>
      <c r="C25" s="24">
        <f>COUNTIFS(Trades!$AE$2:$AE$74,"Win",Trades!$AF$2:$AF$74,$A$25,Trades!$C$2:$C$74,IF($D$4="(All)","*",$D$4),Trades!$AE$2:$AE$74,IF($G$4="(All)","*",$G$4))</f>
        <v/>
      </c>
      <c r="D25" s="34">
        <f>IFERROR(C25/B25*100,"")</f>
        <v/>
      </c>
      <c r="E25" s="33">
        <f>SUMIFS(Trades!$AD$2:$AD$74,Trades!$AF$2:$AF$74,$A$25,Trades!$C$2:$C$74,IF($D$4="(All)","*",$D$4),Trades!$AE$2:$AE$74,IF($G$4="(All)","*",$G$4))</f>
        <v/>
      </c>
      <c r="F25" s="33">
        <f>IFERROR(E25/B25,"")</f>
        <v/>
      </c>
      <c r="G25" s="32">
        <f>IFERROR(AVERAGEIFS(Trades!$Z$2:$Z$74,Trades!$AF$2:$AF$74,$A$25,Trades!$C$2:$C$74,IF($D$4="(All)","*",$D$4),Trades!$AE$2:$AE$74,IF($G$4="(All)","*",$G$4)),"")</f>
        <v/>
      </c>
      <c r="H25" s="28">
        <f>IFERROR(SUMIFS(Trades!$AD$2:$AD$74,Trades!$AF$2:$AF$74,$A$25,Trades!$AD$2:$AD$74,"&gt;0",Trades!$C$2:$C$74,IF($D$4="(All)","*",$D$4),Trades!$AE$2:$AE$74,IF($G$4="(All)","*",$G$4))/-SUMIFS(Trades!$AD$2:$AD$74,Trades!$AF$2:$AF$74,$A$25,Trades!$AD$2:$AD$74,"&lt;0",Trades!$C$2:$C$74,IF($D$4="(All)","*",$D$4),Trades!$AE$2:$AE$74,IF($G$4="(All)","*",$G$4)),"")</f>
        <v/>
      </c>
      <c r="I25" s="31">
        <f>IFERROR(AVERAGEIFS(Trades!$AH$2:$AH$74,Trades!$AF$2:$AF$74,$A$25,Trades!$C$2:$C$74,IF($D$4="(All)","*",$D$4),Trades!$AE$2:$AE$74,IF($G$4="(All)","*",$G$4)),"")</f>
        <v/>
      </c>
      <c r="J25" s="31">
        <f>IFERROR(AVERAGEIFS(Trades!$AI$2:$AI$74,Trades!$AF$2:$AF$74,$A$25,Trades!$C$2:$C$74,IF($D$4="(All)","*",$D$4),Trades!$AE$2:$AE$74,IF($G$4="(All)","*",$G$4)),"")</f>
        <v/>
      </c>
      <c r="K25" s="30">
        <f>IFERROR(AVERAGEIFS(Trades!$O$2:$O$74,Trades!$AF$2:$AF$74,$A$25,Trades!$C$2:$C$74,IF($D$4="(All)","*",$D$4),Trades!$AE$2:$AE$74,IF($G$4="(All)","*",$G$4)),"")</f>
        <v/>
      </c>
      <c r="L25" s="34">
        <f>IFERROR(E25/SUMIFS(Trades!$AD$2:$AD$74,Trades!$C$2:$C$74,IF($D$4="(All)","*",$D$4),Trades!$AE$2:$AE$74,IF($G$4="(All)","*",$G$4))*100,"")</f>
        <v/>
      </c>
    </row>
    <row r="26" ht="16" customHeight="1">
      <c r="A26" s="23" t="inlineStr">
        <is>
          <t>Stop Loss</t>
        </is>
      </c>
      <c r="B26" s="24">
        <f>COUNTIFS(Trades!$AF$2:$AF$74,$A$26,Trades!$C$2:$C$74,IF($D$4="(All)","*",$D$4),Trades!$AE$2:$AE$74,IF($G$4="(All)","*",$G$4))</f>
        <v/>
      </c>
      <c r="C26" s="24">
        <f>COUNTIFS(Trades!$AE$2:$AE$74,"Win",Trades!$AF$2:$AF$74,$A$26,Trades!$C$2:$C$74,IF($D$4="(All)","*",$D$4),Trades!$AE$2:$AE$74,IF($G$4="(All)","*",$G$4))</f>
        <v/>
      </c>
      <c r="D26" s="34">
        <f>IFERROR(C26/B26*100,"")</f>
        <v/>
      </c>
      <c r="E26" s="33">
        <f>SUMIFS(Trades!$AD$2:$AD$74,Trades!$AF$2:$AF$74,$A$26,Trades!$C$2:$C$74,IF($D$4="(All)","*",$D$4),Trades!$AE$2:$AE$74,IF($G$4="(All)","*",$G$4))</f>
        <v/>
      </c>
      <c r="F26" s="33">
        <f>IFERROR(E26/B26,"")</f>
        <v/>
      </c>
      <c r="G26" s="32">
        <f>IFERROR(AVERAGEIFS(Trades!$Z$2:$Z$74,Trades!$AF$2:$AF$74,$A$26,Trades!$C$2:$C$74,IF($D$4="(All)","*",$D$4),Trades!$AE$2:$AE$74,IF($G$4="(All)","*",$G$4)),"")</f>
        <v/>
      </c>
      <c r="H26" s="28">
        <f>IFERROR(SUMIFS(Trades!$AD$2:$AD$74,Trades!$AF$2:$AF$74,$A$26,Trades!$AD$2:$AD$74,"&gt;0",Trades!$C$2:$C$74,IF($D$4="(All)","*",$D$4),Trades!$AE$2:$AE$74,IF($G$4="(All)","*",$G$4))/-SUMIFS(Trades!$AD$2:$AD$74,Trades!$AF$2:$AF$74,$A$26,Trades!$AD$2:$AD$74,"&lt;0",Trades!$C$2:$C$74,IF($D$4="(All)","*",$D$4),Trades!$AE$2:$AE$74,IF($G$4="(All)","*",$G$4)),"")</f>
        <v/>
      </c>
      <c r="I26" s="31">
        <f>IFERROR(AVERAGEIFS(Trades!$AH$2:$AH$74,Trades!$AF$2:$AF$74,$A$26,Trades!$C$2:$C$74,IF($D$4="(All)","*",$D$4),Trades!$AE$2:$AE$74,IF($G$4="(All)","*",$G$4)),"")</f>
        <v/>
      </c>
      <c r="J26" s="31">
        <f>IFERROR(AVERAGEIFS(Trades!$AI$2:$AI$74,Trades!$AF$2:$AF$74,$A$26,Trades!$C$2:$C$74,IF($D$4="(All)","*",$D$4),Trades!$AE$2:$AE$74,IF($G$4="(All)","*",$G$4)),"")</f>
        <v/>
      </c>
      <c r="K26" s="30">
        <f>IFERROR(AVERAGEIFS(Trades!$O$2:$O$74,Trades!$AF$2:$AF$74,$A$26,Trades!$C$2:$C$74,IF($D$4="(All)","*",$D$4),Trades!$AE$2:$AE$74,IF($G$4="(All)","*",$G$4)),"")</f>
        <v/>
      </c>
      <c r="L26" s="34">
        <f>IFERROR(E26/SUMIFS(Trades!$AD$2:$AD$74,Trades!$C$2:$C$74,IF($D$4="(All)","*",$D$4),Trades!$AE$2:$AE$74,IF($G$4="(All)","*",$G$4))*100,"")</f>
        <v/>
      </c>
    </row>
    <row r="27" ht="16" customHeight="1">
      <c r="A27" s="23" t="inlineStr">
        <is>
          <t>Take Profit</t>
        </is>
      </c>
      <c r="B27" s="24">
        <f>COUNTIFS(Trades!$AF$2:$AF$74,$A$27,Trades!$C$2:$C$74,IF($D$4="(All)","*",$D$4),Trades!$AE$2:$AE$74,IF($G$4="(All)","*",$G$4))</f>
        <v/>
      </c>
      <c r="C27" s="24">
        <f>COUNTIFS(Trades!$AE$2:$AE$74,"Win",Trades!$AF$2:$AF$74,$A$27,Trades!$C$2:$C$74,IF($D$4="(All)","*",$D$4),Trades!$AE$2:$AE$74,IF($G$4="(All)","*",$G$4))</f>
        <v/>
      </c>
      <c r="D27" s="34">
        <f>IFERROR(C27/B27*100,"")</f>
        <v/>
      </c>
      <c r="E27" s="33">
        <f>SUMIFS(Trades!$AD$2:$AD$74,Trades!$AF$2:$AF$74,$A$27,Trades!$C$2:$C$74,IF($D$4="(All)","*",$D$4),Trades!$AE$2:$AE$74,IF($G$4="(All)","*",$G$4))</f>
        <v/>
      </c>
      <c r="F27" s="33">
        <f>IFERROR(E27/B27,"")</f>
        <v/>
      </c>
      <c r="G27" s="32">
        <f>IFERROR(AVERAGEIFS(Trades!$Z$2:$Z$74,Trades!$AF$2:$AF$74,$A$27,Trades!$C$2:$C$74,IF($D$4="(All)","*",$D$4),Trades!$AE$2:$AE$74,IF($G$4="(All)","*",$G$4)),"")</f>
        <v/>
      </c>
      <c r="H27" s="28">
        <f>IFERROR(SUMIFS(Trades!$AD$2:$AD$74,Trades!$AF$2:$AF$74,$A$27,Trades!$AD$2:$AD$74,"&gt;0",Trades!$C$2:$C$74,IF($D$4="(All)","*",$D$4),Trades!$AE$2:$AE$74,IF($G$4="(All)","*",$G$4))/-SUMIFS(Trades!$AD$2:$AD$74,Trades!$AF$2:$AF$74,$A$27,Trades!$AD$2:$AD$74,"&lt;0",Trades!$C$2:$C$74,IF($D$4="(All)","*",$D$4),Trades!$AE$2:$AE$74,IF($G$4="(All)","*",$G$4)),"")</f>
        <v/>
      </c>
      <c r="I27" s="31">
        <f>IFERROR(AVERAGEIFS(Trades!$AH$2:$AH$74,Trades!$AF$2:$AF$74,$A$27,Trades!$C$2:$C$74,IF($D$4="(All)","*",$D$4),Trades!$AE$2:$AE$74,IF($G$4="(All)","*",$G$4)),"")</f>
        <v/>
      </c>
      <c r="J27" s="31">
        <f>IFERROR(AVERAGEIFS(Trades!$AI$2:$AI$74,Trades!$AF$2:$AF$74,$A$27,Trades!$C$2:$C$74,IF($D$4="(All)","*",$D$4),Trades!$AE$2:$AE$74,IF($G$4="(All)","*",$G$4)),"")</f>
        <v/>
      </c>
      <c r="K27" s="30">
        <f>IFERROR(AVERAGEIFS(Trades!$O$2:$O$74,Trades!$AF$2:$AF$74,$A$27,Trades!$C$2:$C$74,IF($D$4="(All)","*",$D$4),Trades!$AE$2:$AE$74,IF($G$4="(All)","*",$G$4)),"")</f>
        <v/>
      </c>
      <c r="L27" s="34">
        <f>IFERROR(E27/SUMIFS(Trades!$AD$2:$AD$74,Trades!$C$2:$C$74,IF($D$4="(All)","*",$D$4),Trades!$AE$2:$AE$74,IF($G$4="(All)","*",$G$4))*100,"")</f>
        <v/>
      </c>
    </row>
    <row r="28">
      <c r="A28" s="40" t="inlineStr">
        <is>
          <t>All trades</t>
        </is>
      </c>
      <c r="B28" s="41">
        <f>COUNTIFS(Trades!$C$2:$C$74,IF($D$4="(All)","*",$D$4),Trades!$AE$2:$AE$74,IF($G$4="(All)","*",$G$4))</f>
        <v/>
      </c>
      <c r="C28" s="41">
        <f>COUNTIFS(Trades!$AE$2:$AE$74,"Win",Trades!$C$2:$C$74,IF($D$4="(All)","*",$D$4),Trades!$AE$2:$AE$74,IF($G$4="(All)","*",$G$4))</f>
        <v/>
      </c>
      <c r="D28" s="42">
        <f>IFERROR(C28/B28*100,"")</f>
        <v/>
      </c>
      <c r="E28" s="43">
        <f>SUMIFS(Trades!$AD$2:$AD$74,Trades!$C$2:$C$74,IF($D$4="(All)","*",$D$4),Trades!$AE$2:$AE$74,IF($G$4="(All)","*",$G$4))</f>
        <v/>
      </c>
      <c r="F28" s="43">
        <f>IFERROR(E28/B28,"")</f>
        <v/>
      </c>
      <c r="G28" s="44">
        <f>IFERROR(AVERAGEIFS(Trades!$Z$2:$Z$74,Trades!$C$2:$C$74,IF($D$4="(All)","*",$D$4),Trades!$AE$2:$AE$74,IF($G$4="(All)","*",$G$4)),"")</f>
        <v/>
      </c>
      <c r="H28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28" s="46">
        <f>IFERROR(AVERAGEIFS(Trades!$AH$2:$AH$74,Trades!$C$2:$C$74,IF($D$4="(All)","*",$D$4),Trades!$AE$2:$AE$74,IF($G$4="(All)","*",$G$4)),"")</f>
        <v/>
      </c>
      <c r="J28" s="46">
        <f>IFERROR(AVERAGEIFS(Trades!$AI$2:$AI$74,Trades!$C$2:$C$74,IF($D$4="(All)","*",$D$4),Trades!$AE$2:$AE$74,IF($G$4="(All)","*",$G$4)),"")</f>
        <v/>
      </c>
      <c r="K28" s="47">
        <f>IFERROR(AVERAGEIFS(Trades!$O$2:$O$74,Trades!$C$2:$C$74,IF($D$4="(All)","*",$D$4),Trades!$AE$2:$AE$74,IF($G$4="(All)","*",$G$4)),"")</f>
        <v/>
      </c>
      <c r="L28" s="42">
        <f>IFERROR(E28/SUMIFS(Trades!$AD$2:$AD$74,Trades!$C$2:$C$74,IF($D$4="(All)","*",$D$4),Trades!$AE$2:$AE$74,IF($G$4="(All)","*",$G$4))*100,"")</f>
        <v/>
      </c>
    </row>
    <row r="31">
      <c r="A31" s="4" t="inlineStr">
        <is>
          <t>By sl moved</t>
        </is>
      </c>
      <c r="E31" s="39" t="inlineStr">
        <is>
          <t>Whether moving a stop after entry helped or cost.</t>
        </is>
      </c>
    </row>
    <row r="32" ht="28" customHeight="1">
      <c r="A32" s="22" t="inlineStr">
        <is>
          <t>SL moved</t>
        </is>
      </c>
      <c r="B32" s="22" t="inlineStr">
        <is>
          <t>Trades</t>
        </is>
      </c>
      <c r="C32" s="22" t="inlineStr">
        <is>
          <t>Wins</t>
        </is>
      </c>
      <c r="D32" s="22" t="inlineStr">
        <is>
          <t>Win %</t>
        </is>
      </c>
      <c r="E32" s="22" t="inlineStr">
        <is>
          <t>Net</t>
        </is>
      </c>
      <c r="F32" s="22" t="inlineStr">
        <is>
          <t>Expectancy</t>
        </is>
      </c>
      <c r="G32" s="22" t="inlineStr">
        <is>
          <t>Avg R</t>
        </is>
      </c>
      <c r="H32" s="22" t="inlineStr">
        <is>
          <t>Profit factor</t>
        </is>
      </c>
      <c r="I32" s="22" t="inlineStr">
        <is>
          <t>Avg MFE</t>
        </is>
      </c>
      <c r="J32" s="22" t="inlineStr">
        <is>
          <t>Avg MAE</t>
        </is>
      </c>
      <c r="K32" s="22" t="inlineStr">
        <is>
          <t>Avg dur (min)</t>
        </is>
      </c>
      <c r="L32" s="22" t="inlineStr">
        <is>
          <t>Share of net</t>
        </is>
      </c>
    </row>
    <row r="33" ht="16" customHeight="1">
      <c r="A33" s="23" t="inlineStr">
        <is>
          <t>Breakeven</t>
        </is>
      </c>
      <c r="B33" s="24">
        <f>COUNTIFS(Trades!$V$2:$V$74,$A$33,Trades!$C$2:$C$74,IF($D$4="(All)","*",$D$4),Trades!$AE$2:$AE$74,IF($G$4="(All)","*",$G$4))</f>
        <v/>
      </c>
      <c r="C33" s="24">
        <f>COUNTIFS(Trades!$AE$2:$AE$74,"Win",Trades!$V$2:$V$74,$A$33,Trades!$C$2:$C$74,IF($D$4="(All)","*",$D$4),Trades!$AE$2:$AE$74,IF($G$4="(All)","*",$G$4))</f>
        <v/>
      </c>
      <c r="D33" s="34">
        <f>IFERROR(C33/B33*100,"")</f>
        <v/>
      </c>
      <c r="E33" s="33">
        <f>SUMIFS(Trades!$AD$2:$AD$74,Trades!$V$2:$V$74,$A$33,Trades!$C$2:$C$74,IF($D$4="(All)","*",$D$4),Trades!$AE$2:$AE$74,IF($G$4="(All)","*",$G$4))</f>
        <v/>
      </c>
      <c r="F33" s="33">
        <f>IFERROR(E33/B33,"")</f>
        <v/>
      </c>
      <c r="G33" s="32">
        <f>IFERROR(AVERAGEIFS(Trades!$Z$2:$Z$74,Trades!$V$2:$V$74,$A$33,Trades!$C$2:$C$74,IF($D$4="(All)","*",$D$4),Trades!$AE$2:$AE$74,IF($G$4="(All)","*",$G$4)),"")</f>
        <v/>
      </c>
      <c r="H33" s="28">
        <f>IFERROR(SUMIFS(Trades!$AD$2:$AD$74,Trades!$V$2:$V$74,$A$33,Trades!$AD$2:$AD$74,"&gt;0",Trades!$C$2:$C$74,IF($D$4="(All)","*",$D$4),Trades!$AE$2:$AE$74,IF($G$4="(All)","*",$G$4))/-SUMIFS(Trades!$AD$2:$AD$74,Trades!$V$2:$V$74,$A$33,Trades!$AD$2:$AD$74,"&lt;0",Trades!$C$2:$C$74,IF($D$4="(All)","*",$D$4),Trades!$AE$2:$AE$74,IF($G$4="(All)","*",$G$4)),"")</f>
        <v/>
      </c>
      <c r="I33" s="31">
        <f>IFERROR(AVERAGEIFS(Trades!$AH$2:$AH$74,Trades!$V$2:$V$74,$A$33,Trades!$C$2:$C$74,IF($D$4="(All)","*",$D$4),Trades!$AE$2:$AE$74,IF($G$4="(All)","*",$G$4)),"")</f>
        <v/>
      </c>
      <c r="J33" s="31">
        <f>IFERROR(AVERAGEIFS(Trades!$AI$2:$AI$74,Trades!$V$2:$V$74,$A$33,Trades!$C$2:$C$74,IF($D$4="(All)","*",$D$4),Trades!$AE$2:$AE$74,IF($G$4="(All)","*",$G$4)),"")</f>
        <v/>
      </c>
      <c r="K33" s="30">
        <f>IFERROR(AVERAGEIFS(Trades!$O$2:$O$74,Trades!$V$2:$V$74,$A$33,Trades!$C$2:$C$74,IF($D$4="(All)","*",$D$4),Trades!$AE$2:$AE$74,IF($G$4="(All)","*",$G$4)),"")</f>
        <v/>
      </c>
      <c r="L33" s="34">
        <f>IFERROR(E33/SUMIFS(Trades!$AD$2:$AD$74,Trades!$C$2:$C$74,IF($D$4="(All)","*",$D$4),Trades!$AE$2:$AE$74,IF($G$4="(All)","*",$G$4))*100,"")</f>
        <v/>
      </c>
    </row>
    <row r="34" ht="16" customHeight="1">
      <c r="A34" s="23" t="inlineStr">
        <is>
          <t>Tightened</t>
        </is>
      </c>
      <c r="B34" s="24">
        <f>COUNTIFS(Trades!$V$2:$V$74,$A$34,Trades!$C$2:$C$74,IF($D$4="(All)","*",$D$4),Trades!$AE$2:$AE$74,IF($G$4="(All)","*",$G$4))</f>
        <v/>
      </c>
      <c r="C34" s="24">
        <f>COUNTIFS(Trades!$AE$2:$AE$74,"Win",Trades!$V$2:$V$74,$A$34,Trades!$C$2:$C$74,IF($D$4="(All)","*",$D$4),Trades!$AE$2:$AE$74,IF($G$4="(All)","*",$G$4))</f>
        <v/>
      </c>
      <c r="D34" s="34">
        <f>IFERROR(C34/B34*100,"")</f>
        <v/>
      </c>
      <c r="E34" s="33">
        <f>SUMIFS(Trades!$AD$2:$AD$74,Trades!$V$2:$V$74,$A$34,Trades!$C$2:$C$74,IF($D$4="(All)","*",$D$4),Trades!$AE$2:$AE$74,IF($G$4="(All)","*",$G$4))</f>
        <v/>
      </c>
      <c r="F34" s="33">
        <f>IFERROR(E34/B34,"")</f>
        <v/>
      </c>
      <c r="G34" s="32">
        <f>IFERROR(AVERAGEIFS(Trades!$Z$2:$Z$74,Trades!$V$2:$V$74,$A$34,Trades!$C$2:$C$74,IF($D$4="(All)","*",$D$4),Trades!$AE$2:$AE$74,IF($G$4="(All)","*",$G$4)),"")</f>
        <v/>
      </c>
      <c r="H34" s="28">
        <f>IFERROR(SUMIFS(Trades!$AD$2:$AD$74,Trades!$V$2:$V$74,$A$34,Trades!$AD$2:$AD$74,"&gt;0",Trades!$C$2:$C$74,IF($D$4="(All)","*",$D$4),Trades!$AE$2:$AE$74,IF($G$4="(All)","*",$G$4))/-SUMIFS(Trades!$AD$2:$AD$74,Trades!$V$2:$V$74,$A$34,Trades!$AD$2:$AD$74,"&lt;0",Trades!$C$2:$C$74,IF($D$4="(All)","*",$D$4),Trades!$AE$2:$AE$74,IF($G$4="(All)","*",$G$4)),"")</f>
        <v/>
      </c>
      <c r="I34" s="31">
        <f>IFERROR(AVERAGEIFS(Trades!$AH$2:$AH$74,Trades!$V$2:$V$74,$A$34,Trades!$C$2:$C$74,IF($D$4="(All)","*",$D$4),Trades!$AE$2:$AE$74,IF($G$4="(All)","*",$G$4)),"")</f>
        <v/>
      </c>
      <c r="J34" s="31">
        <f>IFERROR(AVERAGEIFS(Trades!$AI$2:$AI$74,Trades!$V$2:$V$74,$A$34,Trades!$C$2:$C$74,IF($D$4="(All)","*",$D$4),Trades!$AE$2:$AE$74,IF($G$4="(All)","*",$G$4)),"")</f>
        <v/>
      </c>
      <c r="K34" s="30">
        <f>IFERROR(AVERAGEIFS(Trades!$O$2:$O$74,Trades!$V$2:$V$74,$A$34,Trades!$C$2:$C$74,IF($D$4="(All)","*",$D$4),Trades!$AE$2:$AE$74,IF($G$4="(All)","*",$G$4)),"")</f>
        <v/>
      </c>
      <c r="L34" s="34">
        <f>IFERROR(E34/SUMIFS(Trades!$AD$2:$AD$74,Trades!$C$2:$C$74,IF($D$4="(All)","*",$D$4),Trades!$AE$2:$AE$74,IF($G$4="(All)","*",$G$4))*100,"")</f>
        <v/>
      </c>
    </row>
    <row r="35" ht="16" customHeight="1">
      <c r="A35" s="23" t="inlineStr">
        <is>
          <t>Unchanged</t>
        </is>
      </c>
      <c r="B35" s="24">
        <f>COUNTIFS(Trades!$V$2:$V$74,$A$35,Trades!$C$2:$C$74,IF($D$4="(All)","*",$D$4),Trades!$AE$2:$AE$74,IF($G$4="(All)","*",$G$4))</f>
        <v/>
      </c>
      <c r="C35" s="24">
        <f>COUNTIFS(Trades!$AE$2:$AE$74,"Win",Trades!$V$2:$V$74,$A$35,Trades!$C$2:$C$74,IF($D$4="(All)","*",$D$4),Trades!$AE$2:$AE$74,IF($G$4="(All)","*",$G$4))</f>
        <v/>
      </c>
      <c r="D35" s="34">
        <f>IFERROR(C35/B35*100,"")</f>
        <v/>
      </c>
      <c r="E35" s="33">
        <f>SUMIFS(Trades!$AD$2:$AD$74,Trades!$V$2:$V$74,$A$35,Trades!$C$2:$C$74,IF($D$4="(All)","*",$D$4),Trades!$AE$2:$AE$74,IF($G$4="(All)","*",$G$4))</f>
        <v/>
      </c>
      <c r="F35" s="33">
        <f>IFERROR(E35/B35,"")</f>
        <v/>
      </c>
      <c r="G35" s="32">
        <f>IFERROR(AVERAGEIFS(Trades!$Z$2:$Z$74,Trades!$V$2:$V$74,$A$35,Trades!$C$2:$C$74,IF($D$4="(All)","*",$D$4),Trades!$AE$2:$AE$74,IF($G$4="(All)","*",$G$4)),"")</f>
        <v/>
      </c>
      <c r="H35" s="28">
        <f>IFERROR(SUMIFS(Trades!$AD$2:$AD$74,Trades!$V$2:$V$74,$A$35,Trades!$AD$2:$AD$74,"&gt;0",Trades!$C$2:$C$74,IF($D$4="(All)","*",$D$4),Trades!$AE$2:$AE$74,IF($G$4="(All)","*",$G$4))/-SUMIFS(Trades!$AD$2:$AD$74,Trades!$V$2:$V$74,$A$35,Trades!$AD$2:$AD$74,"&lt;0",Trades!$C$2:$C$74,IF($D$4="(All)","*",$D$4),Trades!$AE$2:$AE$74,IF($G$4="(All)","*",$G$4)),"")</f>
        <v/>
      </c>
      <c r="I35" s="31">
        <f>IFERROR(AVERAGEIFS(Trades!$AH$2:$AH$74,Trades!$V$2:$V$74,$A$35,Trades!$C$2:$C$74,IF($D$4="(All)","*",$D$4),Trades!$AE$2:$AE$74,IF($G$4="(All)","*",$G$4)),"")</f>
        <v/>
      </c>
      <c r="J35" s="31">
        <f>IFERROR(AVERAGEIFS(Trades!$AI$2:$AI$74,Trades!$V$2:$V$74,$A$35,Trades!$C$2:$C$74,IF($D$4="(All)","*",$D$4),Trades!$AE$2:$AE$74,IF($G$4="(All)","*",$G$4)),"")</f>
        <v/>
      </c>
      <c r="K35" s="30">
        <f>IFERROR(AVERAGEIFS(Trades!$O$2:$O$74,Trades!$V$2:$V$74,$A$35,Trades!$C$2:$C$74,IF($D$4="(All)","*",$D$4),Trades!$AE$2:$AE$74,IF($G$4="(All)","*",$G$4)),"")</f>
        <v/>
      </c>
      <c r="L35" s="34">
        <f>IFERROR(E35/SUMIFS(Trades!$AD$2:$AD$74,Trades!$C$2:$C$74,IF($D$4="(All)","*",$D$4),Trades!$AE$2:$AE$74,IF($G$4="(All)","*",$G$4))*100,"")</f>
        <v/>
      </c>
    </row>
    <row r="36" ht="16" customHeight="1">
      <c r="A36" s="23" t="inlineStr">
        <is>
          <t>Widened</t>
        </is>
      </c>
      <c r="B36" s="24">
        <f>COUNTIFS(Trades!$V$2:$V$74,$A$36,Trades!$C$2:$C$74,IF($D$4="(All)","*",$D$4),Trades!$AE$2:$AE$74,IF($G$4="(All)","*",$G$4))</f>
        <v/>
      </c>
      <c r="C36" s="24">
        <f>COUNTIFS(Trades!$AE$2:$AE$74,"Win",Trades!$V$2:$V$74,$A$36,Trades!$C$2:$C$74,IF($D$4="(All)","*",$D$4),Trades!$AE$2:$AE$74,IF($G$4="(All)","*",$G$4))</f>
        <v/>
      </c>
      <c r="D36" s="34">
        <f>IFERROR(C36/B36*100,"")</f>
        <v/>
      </c>
      <c r="E36" s="33">
        <f>SUMIFS(Trades!$AD$2:$AD$74,Trades!$V$2:$V$74,$A$36,Trades!$C$2:$C$74,IF($D$4="(All)","*",$D$4),Trades!$AE$2:$AE$74,IF($G$4="(All)","*",$G$4))</f>
        <v/>
      </c>
      <c r="F36" s="33">
        <f>IFERROR(E36/B36,"")</f>
        <v/>
      </c>
      <c r="G36" s="32">
        <f>IFERROR(AVERAGEIFS(Trades!$Z$2:$Z$74,Trades!$V$2:$V$74,$A$36,Trades!$C$2:$C$74,IF($D$4="(All)","*",$D$4),Trades!$AE$2:$AE$74,IF($G$4="(All)","*",$G$4)),"")</f>
        <v/>
      </c>
      <c r="H36" s="28">
        <f>IFERROR(SUMIFS(Trades!$AD$2:$AD$74,Trades!$V$2:$V$74,$A$36,Trades!$AD$2:$AD$74,"&gt;0",Trades!$C$2:$C$74,IF($D$4="(All)","*",$D$4),Trades!$AE$2:$AE$74,IF($G$4="(All)","*",$G$4))/-SUMIFS(Trades!$AD$2:$AD$74,Trades!$V$2:$V$74,$A$36,Trades!$AD$2:$AD$74,"&lt;0",Trades!$C$2:$C$74,IF($D$4="(All)","*",$D$4),Trades!$AE$2:$AE$74,IF($G$4="(All)","*",$G$4)),"")</f>
        <v/>
      </c>
      <c r="I36" s="31">
        <f>IFERROR(AVERAGEIFS(Trades!$AH$2:$AH$74,Trades!$V$2:$V$74,$A$36,Trades!$C$2:$C$74,IF($D$4="(All)","*",$D$4),Trades!$AE$2:$AE$74,IF($G$4="(All)","*",$G$4)),"")</f>
        <v/>
      </c>
      <c r="J36" s="31">
        <f>IFERROR(AVERAGEIFS(Trades!$AI$2:$AI$74,Trades!$V$2:$V$74,$A$36,Trades!$C$2:$C$74,IF($D$4="(All)","*",$D$4),Trades!$AE$2:$AE$74,IF($G$4="(All)","*",$G$4)),"")</f>
        <v/>
      </c>
      <c r="K36" s="30">
        <f>IFERROR(AVERAGEIFS(Trades!$O$2:$O$74,Trades!$V$2:$V$74,$A$36,Trades!$C$2:$C$74,IF($D$4="(All)","*",$D$4),Trades!$AE$2:$AE$74,IF($G$4="(All)","*",$G$4)),"")</f>
        <v/>
      </c>
      <c r="L36" s="34">
        <f>IFERROR(E36/SUMIFS(Trades!$AD$2:$AD$74,Trades!$C$2:$C$74,IF($D$4="(All)","*",$D$4),Trades!$AE$2:$AE$74,IF($G$4="(All)","*",$G$4))*100,"")</f>
        <v/>
      </c>
    </row>
    <row r="37">
      <c r="A37" s="40" t="inlineStr">
        <is>
          <t>All trades</t>
        </is>
      </c>
      <c r="B37" s="41">
        <f>COUNTIFS(Trades!$C$2:$C$74,IF($D$4="(All)","*",$D$4),Trades!$AE$2:$AE$74,IF($G$4="(All)","*",$G$4))</f>
        <v/>
      </c>
      <c r="C37" s="41">
        <f>COUNTIFS(Trades!$AE$2:$AE$74,"Win",Trades!$C$2:$C$74,IF($D$4="(All)","*",$D$4),Trades!$AE$2:$AE$74,IF($G$4="(All)","*",$G$4))</f>
        <v/>
      </c>
      <c r="D37" s="42">
        <f>IFERROR(C37/B37*100,"")</f>
        <v/>
      </c>
      <c r="E37" s="43">
        <f>SUMIFS(Trades!$AD$2:$AD$74,Trades!$C$2:$C$74,IF($D$4="(All)","*",$D$4),Trades!$AE$2:$AE$74,IF($G$4="(All)","*",$G$4))</f>
        <v/>
      </c>
      <c r="F37" s="43">
        <f>IFERROR(E37/B37,"")</f>
        <v/>
      </c>
      <c r="G37" s="44">
        <f>IFERROR(AVERAGEIFS(Trades!$Z$2:$Z$74,Trades!$C$2:$C$74,IF($D$4="(All)","*",$D$4),Trades!$AE$2:$AE$74,IF($G$4="(All)","*",$G$4)),"")</f>
        <v/>
      </c>
      <c r="H37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37" s="46">
        <f>IFERROR(AVERAGEIFS(Trades!$AH$2:$AH$74,Trades!$C$2:$C$74,IF($D$4="(All)","*",$D$4),Trades!$AE$2:$AE$74,IF($G$4="(All)","*",$G$4)),"")</f>
        <v/>
      </c>
      <c r="J37" s="46">
        <f>IFERROR(AVERAGEIFS(Trades!$AI$2:$AI$74,Trades!$C$2:$C$74,IF($D$4="(All)","*",$D$4),Trades!$AE$2:$AE$74,IF($G$4="(All)","*",$G$4)),"")</f>
        <v/>
      </c>
      <c r="K37" s="47">
        <f>IFERROR(AVERAGEIFS(Trades!$O$2:$O$74,Trades!$C$2:$C$74,IF($D$4="(All)","*",$D$4),Trades!$AE$2:$AE$74,IF($G$4="(All)","*",$G$4)),"")</f>
        <v/>
      </c>
      <c r="L37" s="42">
        <f>IFERROR(E37/SUMIFS(Trades!$AD$2:$AD$74,Trades!$C$2:$C$74,IF($D$4="(All)","*",$D$4),Trades!$AE$2:$AE$74,IF($G$4="(All)","*",$G$4))*100,"")</f>
        <v/>
      </c>
    </row>
  </sheetData>
  <mergeCells count="2">
    <mergeCell ref="A2:L2"/>
    <mergeCell ref="A1:L1"/>
  </mergeCells>
  <conditionalFormatting sqref="E8:E12">
    <cfRule type="cellIs" priority="1" operator="greaterThan" dxfId="5">
      <formula>0</formula>
    </cfRule>
    <cfRule type="cellIs" priority="2" operator="lessThan" dxfId="6">
      <formula>0</formula>
    </cfRule>
  </conditionalFormatting>
  <conditionalFormatting sqref="B8:B12">
    <cfRule type="dataBar" priority="3">
      <dataBar showValue="1">
        <cfvo type="num" val="0"/>
        <cfvo type="max"/>
        <color rgb="00DBEAFE"/>
      </dataBar>
    </cfRule>
  </conditionalFormatting>
  <conditionalFormatting sqref="E18:E19">
    <cfRule type="cellIs" priority="4" operator="greaterThan" dxfId="5">
      <formula>0</formula>
    </cfRule>
    <cfRule type="cellIs" priority="5" operator="lessThan" dxfId="6">
      <formula>0</formula>
    </cfRule>
  </conditionalFormatting>
  <conditionalFormatting sqref="B18:B19">
    <cfRule type="dataBar" priority="6">
      <dataBar showValue="1">
        <cfvo type="num" val="0"/>
        <cfvo type="max"/>
        <color rgb="00DBEAFE"/>
      </dataBar>
    </cfRule>
  </conditionalFormatting>
  <conditionalFormatting sqref="E25:E27">
    <cfRule type="cellIs" priority="7" operator="greaterThan" dxfId="5">
      <formula>0</formula>
    </cfRule>
    <cfRule type="cellIs" priority="8" operator="lessThan" dxfId="6">
      <formula>0</formula>
    </cfRule>
  </conditionalFormatting>
  <conditionalFormatting sqref="B25:B27">
    <cfRule type="dataBar" priority="9">
      <dataBar showValue="1">
        <cfvo type="num" val="0"/>
        <cfvo type="max"/>
        <color rgb="00DBEAFE"/>
      </dataBar>
    </cfRule>
  </conditionalFormatting>
  <conditionalFormatting sqref="E33:E36">
    <cfRule type="cellIs" priority="10" operator="greaterThan" dxfId="5">
      <formula>0</formula>
    </cfRule>
    <cfRule type="cellIs" priority="11" operator="lessThan" dxfId="6">
      <formula>0</formula>
    </cfRule>
  </conditionalFormatting>
  <conditionalFormatting sqref="B33:B36">
    <cfRule type="dataBar" priority="12">
      <dataBar showValue="1">
        <cfvo type="num" val="0"/>
        <cfvo type="max"/>
        <color rgb="00DBEAFE"/>
      </dataBar>
    </cfRule>
  </conditionalFormatting>
  <dataValidations count="2">
    <dataValidation sqref="D4" showDropDown="0" showInputMessage="0" showErrorMessage="0" allowBlank="0" type="list">
      <formula1>"(All),DAXEUR,DJIUSD,NDXUSD,NIKJPY,XAUUSD"</formula1>
    </dataValidation>
    <dataValidation sqref="G4" showDropDown="0" showInputMessage="0" showErrorMessage="0" allowBlank="0" type="list">
      <formula1>"(All),Win,Loss,Breakeven"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8" customWidth="1" min="3" max="3"/>
    <col width="9" customWidth="1" min="4" max="4"/>
    <col width="12" customWidth="1" min="5" max="5"/>
    <col width="11" customWidth="1" min="6" max="6"/>
    <col width="9" customWidth="1" min="7" max="7"/>
    <col width="12" customWidth="1" min="8" max="8"/>
    <col width="10" customWidth="1" min="9" max="9"/>
    <col width="10" customWidth="1" min="10" max="10"/>
    <col width="13" customWidth="1" min="11" max="11"/>
    <col width="12" customWidth="1" min="12" max="12"/>
  </cols>
  <sheetData>
    <row r="1" ht="34" customHeight="1">
      <c r="A1" s="1" t="inlineStr">
        <is>
          <t>When the edge shows 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Same grids, cut by clock and calendar. Broker server time throughout.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4" t="inlineStr">
        <is>
          <t>Filters</t>
        </is>
      </c>
      <c r="C4" s="37" t="inlineStr">
        <is>
          <t>Symbol</t>
        </is>
      </c>
      <c r="D4" s="38" t="inlineStr">
        <is>
          <t>(All)</t>
        </is>
      </c>
      <c r="F4" s="37" t="inlineStr">
        <is>
          <t>Outcome</t>
        </is>
      </c>
      <c r="G4" s="38" t="inlineStr">
        <is>
          <t>(All)</t>
        </is>
      </c>
      <c r="I4" s="39" t="inlineStr">
        <is>
          <t>Change either dropdown - every grid below recalculates.</t>
        </is>
      </c>
    </row>
    <row r="6">
      <c r="A6" s="4" t="inlineStr">
        <is>
          <t>By session</t>
        </is>
      </c>
      <c r="E6" s="39" t="inlineStr">
        <is>
          <t>Sessions come from settings, in broker hours.</t>
        </is>
      </c>
    </row>
    <row r="7" ht="28" customHeight="1">
      <c r="A7" s="22" t="inlineStr">
        <is>
          <t>Session</t>
        </is>
      </c>
      <c r="B7" s="22" t="inlineStr">
        <is>
          <t>Trades</t>
        </is>
      </c>
      <c r="C7" s="22" t="inlineStr">
        <is>
          <t>Wins</t>
        </is>
      </c>
      <c r="D7" s="22" t="inlineStr">
        <is>
          <t>Win %</t>
        </is>
      </c>
      <c r="E7" s="22" t="inlineStr">
        <is>
          <t>Net</t>
        </is>
      </c>
      <c r="F7" s="22" t="inlineStr">
        <is>
          <t>Expectancy</t>
        </is>
      </c>
      <c r="G7" s="22" t="inlineStr">
        <is>
          <t>Avg R</t>
        </is>
      </c>
      <c r="H7" s="22" t="inlineStr">
        <is>
          <t>Profit factor</t>
        </is>
      </c>
      <c r="I7" s="22" t="inlineStr">
        <is>
          <t>Avg MFE</t>
        </is>
      </c>
      <c r="J7" s="22" t="inlineStr">
        <is>
          <t>Avg MAE</t>
        </is>
      </c>
      <c r="K7" s="22" t="inlineStr">
        <is>
          <t>Avg dur (min)</t>
        </is>
      </c>
      <c r="L7" s="22" t="inlineStr">
        <is>
          <t>Share of net</t>
        </is>
      </c>
    </row>
    <row r="8" ht="16" customHeight="1">
      <c r="A8" s="23" t="inlineStr">
        <is>
          <t>Asia</t>
        </is>
      </c>
      <c r="B8" s="24">
        <f>COUNTIFS(Trades!$J$2:$J$74,$A$8,Trades!$C$2:$C$74,IF($D$4="(All)","*",$D$4),Trades!$AE$2:$AE$74,IF($G$4="(All)","*",$G$4))</f>
        <v/>
      </c>
      <c r="C8" s="24">
        <f>COUNTIFS(Trades!$AE$2:$AE$74,"Win",Trades!$J$2:$J$74,$A$8,Trades!$C$2:$C$74,IF($D$4="(All)","*",$D$4),Trades!$AE$2:$AE$74,IF($G$4="(All)","*",$G$4))</f>
        <v/>
      </c>
      <c r="D8" s="34">
        <f>IFERROR(C8/B8*100,"")</f>
        <v/>
      </c>
      <c r="E8" s="33">
        <f>SUMIFS(Trades!$AD$2:$AD$74,Trades!$J$2:$J$74,$A$8,Trades!$C$2:$C$74,IF($D$4="(All)","*",$D$4),Trades!$AE$2:$AE$74,IF($G$4="(All)","*",$G$4))</f>
        <v/>
      </c>
      <c r="F8" s="33">
        <f>IFERROR(E8/B8,"")</f>
        <v/>
      </c>
      <c r="G8" s="32">
        <f>IFERROR(AVERAGEIFS(Trades!$Z$2:$Z$74,Trades!$J$2:$J$74,$A$8,Trades!$C$2:$C$74,IF($D$4="(All)","*",$D$4),Trades!$AE$2:$AE$74,IF($G$4="(All)","*",$G$4)),"")</f>
        <v/>
      </c>
      <c r="H8" s="28">
        <f>IFERROR(SUMIFS(Trades!$AD$2:$AD$74,Trades!$J$2:$J$74,$A$8,Trades!$AD$2:$AD$74,"&gt;0",Trades!$C$2:$C$74,IF($D$4="(All)","*",$D$4),Trades!$AE$2:$AE$74,IF($G$4="(All)","*",$G$4))/-SUMIFS(Trades!$AD$2:$AD$74,Trades!$J$2:$J$74,$A$8,Trades!$AD$2:$AD$74,"&lt;0",Trades!$C$2:$C$74,IF($D$4="(All)","*",$D$4),Trades!$AE$2:$AE$74,IF($G$4="(All)","*",$G$4)),"")</f>
        <v/>
      </c>
      <c r="I8" s="31">
        <f>IFERROR(AVERAGEIFS(Trades!$AH$2:$AH$74,Trades!$J$2:$J$74,$A$8,Trades!$C$2:$C$74,IF($D$4="(All)","*",$D$4),Trades!$AE$2:$AE$74,IF($G$4="(All)","*",$G$4)),"")</f>
        <v/>
      </c>
      <c r="J8" s="31">
        <f>IFERROR(AVERAGEIFS(Trades!$AI$2:$AI$74,Trades!$J$2:$J$74,$A$8,Trades!$C$2:$C$74,IF($D$4="(All)","*",$D$4),Trades!$AE$2:$AE$74,IF($G$4="(All)","*",$G$4)),"")</f>
        <v/>
      </c>
      <c r="K8" s="30">
        <f>IFERROR(AVERAGEIFS(Trades!$O$2:$O$74,Trades!$J$2:$J$74,$A$8,Trades!$C$2:$C$74,IF($D$4="(All)","*",$D$4),Trades!$AE$2:$AE$74,IF($G$4="(All)","*",$G$4)),"")</f>
        <v/>
      </c>
      <c r="L8" s="34">
        <f>IFERROR(E8/SUMIFS(Trades!$AD$2:$AD$74,Trades!$C$2:$C$74,IF($D$4="(All)","*",$D$4),Trades!$AE$2:$AE$74,IF($G$4="(All)","*",$G$4))*100,"")</f>
        <v/>
      </c>
    </row>
    <row r="9" ht="16" customHeight="1">
      <c r="A9" s="23" t="inlineStr">
        <is>
          <t>London</t>
        </is>
      </c>
      <c r="B9" s="24">
        <f>COUNTIFS(Trades!$J$2:$J$74,$A$9,Trades!$C$2:$C$74,IF($D$4="(All)","*",$D$4),Trades!$AE$2:$AE$74,IF($G$4="(All)","*",$G$4))</f>
        <v/>
      </c>
      <c r="C9" s="24">
        <f>COUNTIFS(Trades!$AE$2:$AE$74,"Win",Trades!$J$2:$J$74,$A$9,Trades!$C$2:$C$74,IF($D$4="(All)","*",$D$4),Trades!$AE$2:$AE$74,IF($G$4="(All)","*",$G$4))</f>
        <v/>
      </c>
      <c r="D9" s="34">
        <f>IFERROR(C9/B9*100,"")</f>
        <v/>
      </c>
      <c r="E9" s="33">
        <f>SUMIFS(Trades!$AD$2:$AD$74,Trades!$J$2:$J$74,$A$9,Trades!$C$2:$C$74,IF($D$4="(All)","*",$D$4),Trades!$AE$2:$AE$74,IF($G$4="(All)","*",$G$4))</f>
        <v/>
      </c>
      <c r="F9" s="33">
        <f>IFERROR(E9/B9,"")</f>
        <v/>
      </c>
      <c r="G9" s="32">
        <f>IFERROR(AVERAGEIFS(Trades!$Z$2:$Z$74,Trades!$J$2:$J$74,$A$9,Trades!$C$2:$C$74,IF($D$4="(All)","*",$D$4),Trades!$AE$2:$AE$74,IF($G$4="(All)","*",$G$4)),"")</f>
        <v/>
      </c>
      <c r="H9" s="28">
        <f>IFERROR(SUMIFS(Trades!$AD$2:$AD$74,Trades!$J$2:$J$74,$A$9,Trades!$AD$2:$AD$74,"&gt;0",Trades!$C$2:$C$74,IF($D$4="(All)","*",$D$4),Trades!$AE$2:$AE$74,IF($G$4="(All)","*",$G$4))/-SUMIFS(Trades!$AD$2:$AD$74,Trades!$J$2:$J$74,$A$9,Trades!$AD$2:$AD$74,"&lt;0",Trades!$C$2:$C$74,IF($D$4="(All)","*",$D$4),Trades!$AE$2:$AE$74,IF($G$4="(All)","*",$G$4)),"")</f>
        <v/>
      </c>
      <c r="I9" s="31">
        <f>IFERROR(AVERAGEIFS(Trades!$AH$2:$AH$74,Trades!$J$2:$J$74,$A$9,Trades!$C$2:$C$74,IF($D$4="(All)","*",$D$4),Trades!$AE$2:$AE$74,IF($G$4="(All)","*",$G$4)),"")</f>
        <v/>
      </c>
      <c r="J9" s="31">
        <f>IFERROR(AVERAGEIFS(Trades!$AI$2:$AI$74,Trades!$J$2:$J$74,$A$9,Trades!$C$2:$C$74,IF($D$4="(All)","*",$D$4),Trades!$AE$2:$AE$74,IF($G$4="(All)","*",$G$4)),"")</f>
        <v/>
      </c>
      <c r="K9" s="30">
        <f>IFERROR(AVERAGEIFS(Trades!$O$2:$O$74,Trades!$J$2:$J$74,$A$9,Trades!$C$2:$C$74,IF($D$4="(All)","*",$D$4),Trades!$AE$2:$AE$74,IF($G$4="(All)","*",$G$4)),"")</f>
        <v/>
      </c>
      <c r="L9" s="34">
        <f>IFERROR(E9/SUMIFS(Trades!$AD$2:$AD$74,Trades!$C$2:$C$74,IF($D$4="(All)","*",$D$4),Trades!$AE$2:$AE$74,IF($G$4="(All)","*",$G$4))*100,"")</f>
        <v/>
      </c>
    </row>
    <row r="10" ht="16" customHeight="1">
      <c r="A10" s="23" t="inlineStr">
        <is>
          <t>NY Late</t>
        </is>
      </c>
      <c r="B10" s="24">
        <f>COUNTIFS(Trades!$J$2:$J$74,$A$10,Trades!$C$2:$C$74,IF($D$4="(All)","*",$D$4),Trades!$AE$2:$AE$74,IF($G$4="(All)","*",$G$4))</f>
        <v/>
      </c>
      <c r="C10" s="24">
        <f>COUNTIFS(Trades!$AE$2:$AE$74,"Win",Trades!$J$2:$J$74,$A$10,Trades!$C$2:$C$74,IF($D$4="(All)","*",$D$4),Trades!$AE$2:$AE$74,IF($G$4="(All)","*",$G$4))</f>
        <v/>
      </c>
      <c r="D10" s="34">
        <f>IFERROR(C10/B10*100,"")</f>
        <v/>
      </c>
      <c r="E10" s="33">
        <f>SUMIFS(Trades!$AD$2:$AD$74,Trades!$J$2:$J$74,$A$10,Trades!$C$2:$C$74,IF($D$4="(All)","*",$D$4),Trades!$AE$2:$AE$74,IF($G$4="(All)","*",$G$4))</f>
        <v/>
      </c>
      <c r="F10" s="33">
        <f>IFERROR(E10/B10,"")</f>
        <v/>
      </c>
      <c r="G10" s="32">
        <f>IFERROR(AVERAGEIFS(Trades!$Z$2:$Z$74,Trades!$J$2:$J$74,$A$10,Trades!$C$2:$C$74,IF($D$4="(All)","*",$D$4),Trades!$AE$2:$AE$74,IF($G$4="(All)","*",$G$4)),"")</f>
        <v/>
      </c>
      <c r="H10" s="28">
        <f>IFERROR(SUMIFS(Trades!$AD$2:$AD$74,Trades!$J$2:$J$74,$A$10,Trades!$AD$2:$AD$74,"&gt;0",Trades!$C$2:$C$74,IF($D$4="(All)","*",$D$4),Trades!$AE$2:$AE$74,IF($G$4="(All)","*",$G$4))/-SUMIFS(Trades!$AD$2:$AD$74,Trades!$J$2:$J$74,$A$10,Trades!$AD$2:$AD$74,"&lt;0",Trades!$C$2:$C$74,IF($D$4="(All)","*",$D$4),Trades!$AE$2:$AE$74,IF($G$4="(All)","*",$G$4)),"")</f>
        <v/>
      </c>
      <c r="I10" s="31">
        <f>IFERROR(AVERAGEIFS(Trades!$AH$2:$AH$74,Trades!$J$2:$J$74,$A$10,Trades!$C$2:$C$74,IF($D$4="(All)","*",$D$4),Trades!$AE$2:$AE$74,IF($G$4="(All)","*",$G$4)),"")</f>
        <v/>
      </c>
      <c r="J10" s="31">
        <f>IFERROR(AVERAGEIFS(Trades!$AI$2:$AI$74,Trades!$J$2:$J$74,$A$10,Trades!$C$2:$C$74,IF($D$4="(All)","*",$D$4),Trades!$AE$2:$AE$74,IF($G$4="(All)","*",$G$4)),"")</f>
        <v/>
      </c>
      <c r="K10" s="30">
        <f>IFERROR(AVERAGEIFS(Trades!$O$2:$O$74,Trades!$J$2:$J$74,$A$10,Trades!$C$2:$C$74,IF($D$4="(All)","*",$D$4),Trades!$AE$2:$AE$74,IF($G$4="(All)","*",$G$4)),"")</f>
        <v/>
      </c>
      <c r="L10" s="34">
        <f>IFERROR(E10/SUMIFS(Trades!$AD$2:$AD$74,Trades!$C$2:$C$74,IF($D$4="(All)","*",$D$4),Trades!$AE$2:$AE$74,IF($G$4="(All)","*",$G$4))*100,"")</f>
        <v/>
      </c>
    </row>
    <row r="11" ht="16" customHeight="1">
      <c r="A11" s="23" t="inlineStr">
        <is>
          <t>NY Overlap</t>
        </is>
      </c>
      <c r="B11" s="24">
        <f>COUNTIFS(Trades!$J$2:$J$74,$A$11,Trades!$C$2:$C$74,IF($D$4="(All)","*",$D$4),Trades!$AE$2:$AE$74,IF($G$4="(All)","*",$G$4))</f>
        <v/>
      </c>
      <c r="C11" s="24">
        <f>COUNTIFS(Trades!$AE$2:$AE$74,"Win",Trades!$J$2:$J$74,$A$11,Trades!$C$2:$C$74,IF($D$4="(All)","*",$D$4),Trades!$AE$2:$AE$74,IF($G$4="(All)","*",$G$4))</f>
        <v/>
      </c>
      <c r="D11" s="34">
        <f>IFERROR(C11/B11*100,"")</f>
        <v/>
      </c>
      <c r="E11" s="33">
        <f>SUMIFS(Trades!$AD$2:$AD$74,Trades!$J$2:$J$74,$A$11,Trades!$C$2:$C$74,IF($D$4="(All)","*",$D$4),Trades!$AE$2:$AE$74,IF($G$4="(All)","*",$G$4))</f>
        <v/>
      </c>
      <c r="F11" s="33">
        <f>IFERROR(E11/B11,"")</f>
        <v/>
      </c>
      <c r="G11" s="32">
        <f>IFERROR(AVERAGEIFS(Trades!$Z$2:$Z$74,Trades!$J$2:$J$74,$A$11,Trades!$C$2:$C$74,IF($D$4="(All)","*",$D$4),Trades!$AE$2:$AE$74,IF($G$4="(All)","*",$G$4)),"")</f>
        <v/>
      </c>
      <c r="H11" s="28">
        <f>IFERROR(SUMIFS(Trades!$AD$2:$AD$74,Trades!$J$2:$J$74,$A$11,Trades!$AD$2:$AD$74,"&gt;0",Trades!$C$2:$C$74,IF($D$4="(All)","*",$D$4),Trades!$AE$2:$AE$74,IF($G$4="(All)","*",$G$4))/-SUMIFS(Trades!$AD$2:$AD$74,Trades!$J$2:$J$74,$A$11,Trades!$AD$2:$AD$74,"&lt;0",Trades!$C$2:$C$74,IF($D$4="(All)","*",$D$4),Trades!$AE$2:$AE$74,IF($G$4="(All)","*",$G$4)),"")</f>
        <v/>
      </c>
      <c r="I11" s="31">
        <f>IFERROR(AVERAGEIFS(Trades!$AH$2:$AH$74,Trades!$J$2:$J$74,$A$11,Trades!$C$2:$C$74,IF($D$4="(All)","*",$D$4),Trades!$AE$2:$AE$74,IF($G$4="(All)","*",$G$4)),"")</f>
        <v/>
      </c>
      <c r="J11" s="31">
        <f>IFERROR(AVERAGEIFS(Trades!$AI$2:$AI$74,Trades!$J$2:$J$74,$A$11,Trades!$C$2:$C$74,IF($D$4="(All)","*",$D$4),Trades!$AE$2:$AE$74,IF($G$4="(All)","*",$G$4)),"")</f>
        <v/>
      </c>
      <c r="K11" s="30">
        <f>IFERROR(AVERAGEIFS(Trades!$O$2:$O$74,Trades!$J$2:$J$74,$A$11,Trades!$C$2:$C$74,IF($D$4="(All)","*",$D$4),Trades!$AE$2:$AE$74,IF($G$4="(All)","*",$G$4)),"")</f>
        <v/>
      </c>
      <c r="L11" s="34">
        <f>IFERROR(E11/SUMIFS(Trades!$AD$2:$AD$74,Trades!$C$2:$C$74,IF($D$4="(All)","*",$D$4),Trades!$AE$2:$AE$74,IF($G$4="(All)","*",$G$4))*100,"")</f>
        <v/>
      </c>
    </row>
    <row r="12">
      <c r="A12" s="40" t="inlineStr">
        <is>
          <t>All trades</t>
        </is>
      </c>
      <c r="B12" s="41">
        <f>COUNTIFS(Trades!$C$2:$C$74,IF($D$4="(All)","*",$D$4),Trades!$AE$2:$AE$74,IF($G$4="(All)","*",$G$4))</f>
        <v/>
      </c>
      <c r="C12" s="41">
        <f>COUNTIFS(Trades!$AE$2:$AE$74,"Win",Trades!$C$2:$C$74,IF($D$4="(All)","*",$D$4),Trades!$AE$2:$AE$74,IF($G$4="(All)","*",$G$4))</f>
        <v/>
      </c>
      <c r="D12" s="42">
        <f>IFERROR(C12/B12*100,"")</f>
        <v/>
      </c>
      <c r="E12" s="43">
        <f>SUMIFS(Trades!$AD$2:$AD$74,Trades!$C$2:$C$74,IF($D$4="(All)","*",$D$4),Trades!$AE$2:$AE$74,IF($G$4="(All)","*",$G$4))</f>
        <v/>
      </c>
      <c r="F12" s="43">
        <f>IFERROR(E12/B12,"")</f>
        <v/>
      </c>
      <c r="G12" s="44">
        <f>IFERROR(AVERAGEIFS(Trades!$Z$2:$Z$74,Trades!$C$2:$C$74,IF($D$4="(All)","*",$D$4),Trades!$AE$2:$AE$74,IF($G$4="(All)","*",$G$4)),"")</f>
        <v/>
      </c>
      <c r="H12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12" s="46">
        <f>IFERROR(AVERAGEIFS(Trades!$AH$2:$AH$74,Trades!$C$2:$C$74,IF($D$4="(All)","*",$D$4),Trades!$AE$2:$AE$74,IF($G$4="(All)","*",$G$4)),"")</f>
        <v/>
      </c>
      <c r="J12" s="46">
        <f>IFERROR(AVERAGEIFS(Trades!$AI$2:$AI$74,Trades!$C$2:$C$74,IF($D$4="(All)","*",$D$4),Trades!$AE$2:$AE$74,IF($G$4="(All)","*",$G$4)),"")</f>
        <v/>
      </c>
      <c r="K12" s="47">
        <f>IFERROR(AVERAGEIFS(Trades!$O$2:$O$74,Trades!$C$2:$C$74,IF($D$4="(All)","*",$D$4),Trades!$AE$2:$AE$74,IF($G$4="(All)","*",$G$4)),"")</f>
        <v/>
      </c>
      <c r="L12" s="42">
        <f>IFERROR(E12/SUMIFS(Trades!$AD$2:$AD$74,Trades!$C$2:$C$74,IF($D$4="(All)","*",$D$4),Trades!$AE$2:$AE$74,IF($G$4="(All)","*",$G$4))*100,"")</f>
        <v/>
      </c>
    </row>
    <row r="15">
      <c r="A15" s="4" t="inlineStr">
        <is>
          <t>By weekday</t>
        </is>
      </c>
    </row>
    <row r="16" ht="28" customHeight="1">
      <c r="A16" s="22" t="inlineStr">
        <is>
          <t>Weekday</t>
        </is>
      </c>
      <c r="B16" s="22" t="inlineStr">
        <is>
          <t>Trades</t>
        </is>
      </c>
      <c r="C16" s="22" t="inlineStr">
        <is>
          <t>Wins</t>
        </is>
      </c>
      <c r="D16" s="22" t="inlineStr">
        <is>
          <t>Win %</t>
        </is>
      </c>
      <c r="E16" s="22" t="inlineStr">
        <is>
          <t>Net</t>
        </is>
      </c>
      <c r="F16" s="22" t="inlineStr">
        <is>
          <t>Expectancy</t>
        </is>
      </c>
      <c r="G16" s="22" t="inlineStr">
        <is>
          <t>Avg R</t>
        </is>
      </c>
      <c r="H16" s="22" t="inlineStr">
        <is>
          <t>Profit factor</t>
        </is>
      </c>
      <c r="I16" s="22" t="inlineStr">
        <is>
          <t>Avg MFE</t>
        </is>
      </c>
      <c r="J16" s="22" t="inlineStr">
        <is>
          <t>Avg MAE</t>
        </is>
      </c>
      <c r="K16" s="22" t="inlineStr">
        <is>
          <t>Avg dur (min)</t>
        </is>
      </c>
      <c r="L16" s="22" t="inlineStr">
        <is>
          <t>Share of net</t>
        </is>
      </c>
    </row>
    <row r="17" ht="16" customHeight="1">
      <c r="A17" s="23" t="inlineStr">
        <is>
          <t>Friday</t>
        </is>
      </c>
      <c r="B17" s="24">
        <f>COUNTIFS(Trades!$H$2:$H$74,$A$17,Trades!$C$2:$C$74,IF($D$4="(All)","*",$D$4),Trades!$AE$2:$AE$74,IF($G$4="(All)","*",$G$4))</f>
        <v/>
      </c>
      <c r="C17" s="24">
        <f>COUNTIFS(Trades!$AE$2:$AE$74,"Win",Trades!$H$2:$H$74,$A$17,Trades!$C$2:$C$74,IF($D$4="(All)","*",$D$4),Trades!$AE$2:$AE$74,IF($G$4="(All)","*",$G$4))</f>
        <v/>
      </c>
      <c r="D17" s="34">
        <f>IFERROR(C17/B17*100,"")</f>
        <v/>
      </c>
      <c r="E17" s="33">
        <f>SUMIFS(Trades!$AD$2:$AD$74,Trades!$H$2:$H$74,$A$17,Trades!$C$2:$C$74,IF($D$4="(All)","*",$D$4),Trades!$AE$2:$AE$74,IF($G$4="(All)","*",$G$4))</f>
        <v/>
      </c>
      <c r="F17" s="33">
        <f>IFERROR(E17/B17,"")</f>
        <v/>
      </c>
      <c r="G17" s="32">
        <f>IFERROR(AVERAGEIFS(Trades!$Z$2:$Z$74,Trades!$H$2:$H$74,$A$17,Trades!$C$2:$C$74,IF($D$4="(All)","*",$D$4),Trades!$AE$2:$AE$74,IF($G$4="(All)","*",$G$4)),"")</f>
        <v/>
      </c>
      <c r="H17" s="28">
        <f>IFERROR(SUMIFS(Trades!$AD$2:$AD$74,Trades!$H$2:$H$74,$A$17,Trades!$AD$2:$AD$74,"&gt;0",Trades!$C$2:$C$74,IF($D$4="(All)","*",$D$4),Trades!$AE$2:$AE$74,IF($G$4="(All)","*",$G$4))/-SUMIFS(Trades!$AD$2:$AD$74,Trades!$H$2:$H$74,$A$17,Trades!$AD$2:$AD$74,"&lt;0",Trades!$C$2:$C$74,IF($D$4="(All)","*",$D$4),Trades!$AE$2:$AE$74,IF($G$4="(All)","*",$G$4)),"")</f>
        <v/>
      </c>
      <c r="I17" s="31">
        <f>IFERROR(AVERAGEIFS(Trades!$AH$2:$AH$74,Trades!$H$2:$H$74,$A$17,Trades!$C$2:$C$74,IF($D$4="(All)","*",$D$4),Trades!$AE$2:$AE$74,IF($G$4="(All)","*",$G$4)),"")</f>
        <v/>
      </c>
      <c r="J17" s="31">
        <f>IFERROR(AVERAGEIFS(Trades!$AI$2:$AI$74,Trades!$H$2:$H$74,$A$17,Trades!$C$2:$C$74,IF($D$4="(All)","*",$D$4),Trades!$AE$2:$AE$74,IF($G$4="(All)","*",$G$4)),"")</f>
        <v/>
      </c>
      <c r="K17" s="30">
        <f>IFERROR(AVERAGEIFS(Trades!$O$2:$O$74,Trades!$H$2:$H$74,$A$17,Trades!$C$2:$C$74,IF($D$4="(All)","*",$D$4),Trades!$AE$2:$AE$74,IF($G$4="(All)","*",$G$4)),"")</f>
        <v/>
      </c>
      <c r="L17" s="34">
        <f>IFERROR(E17/SUMIFS(Trades!$AD$2:$AD$74,Trades!$C$2:$C$74,IF($D$4="(All)","*",$D$4),Trades!$AE$2:$AE$74,IF($G$4="(All)","*",$G$4))*100,"")</f>
        <v/>
      </c>
    </row>
    <row r="18" ht="16" customHeight="1">
      <c r="A18" s="23" t="inlineStr">
        <is>
          <t>Monday</t>
        </is>
      </c>
      <c r="B18" s="24">
        <f>COUNTIFS(Trades!$H$2:$H$74,$A$18,Trades!$C$2:$C$74,IF($D$4="(All)","*",$D$4),Trades!$AE$2:$AE$74,IF($G$4="(All)","*",$G$4))</f>
        <v/>
      </c>
      <c r="C18" s="24">
        <f>COUNTIFS(Trades!$AE$2:$AE$74,"Win",Trades!$H$2:$H$74,$A$18,Trades!$C$2:$C$74,IF($D$4="(All)","*",$D$4),Trades!$AE$2:$AE$74,IF($G$4="(All)","*",$G$4))</f>
        <v/>
      </c>
      <c r="D18" s="34">
        <f>IFERROR(C18/B18*100,"")</f>
        <v/>
      </c>
      <c r="E18" s="33">
        <f>SUMIFS(Trades!$AD$2:$AD$74,Trades!$H$2:$H$74,$A$18,Trades!$C$2:$C$74,IF($D$4="(All)","*",$D$4),Trades!$AE$2:$AE$74,IF($G$4="(All)","*",$G$4))</f>
        <v/>
      </c>
      <c r="F18" s="33">
        <f>IFERROR(E18/B18,"")</f>
        <v/>
      </c>
      <c r="G18" s="32">
        <f>IFERROR(AVERAGEIFS(Trades!$Z$2:$Z$74,Trades!$H$2:$H$74,$A$18,Trades!$C$2:$C$74,IF($D$4="(All)","*",$D$4),Trades!$AE$2:$AE$74,IF($G$4="(All)","*",$G$4)),"")</f>
        <v/>
      </c>
      <c r="H18" s="28">
        <f>IFERROR(SUMIFS(Trades!$AD$2:$AD$74,Trades!$H$2:$H$74,$A$18,Trades!$AD$2:$AD$74,"&gt;0",Trades!$C$2:$C$74,IF($D$4="(All)","*",$D$4),Trades!$AE$2:$AE$74,IF($G$4="(All)","*",$G$4))/-SUMIFS(Trades!$AD$2:$AD$74,Trades!$H$2:$H$74,$A$18,Trades!$AD$2:$AD$74,"&lt;0",Trades!$C$2:$C$74,IF($D$4="(All)","*",$D$4),Trades!$AE$2:$AE$74,IF($G$4="(All)","*",$G$4)),"")</f>
        <v/>
      </c>
      <c r="I18" s="31">
        <f>IFERROR(AVERAGEIFS(Trades!$AH$2:$AH$74,Trades!$H$2:$H$74,$A$18,Trades!$C$2:$C$74,IF($D$4="(All)","*",$D$4),Trades!$AE$2:$AE$74,IF($G$4="(All)","*",$G$4)),"")</f>
        <v/>
      </c>
      <c r="J18" s="31">
        <f>IFERROR(AVERAGEIFS(Trades!$AI$2:$AI$74,Trades!$H$2:$H$74,$A$18,Trades!$C$2:$C$74,IF($D$4="(All)","*",$D$4),Trades!$AE$2:$AE$74,IF($G$4="(All)","*",$G$4)),"")</f>
        <v/>
      </c>
      <c r="K18" s="30">
        <f>IFERROR(AVERAGEIFS(Trades!$O$2:$O$74,Trades!$H$2:$H$74,$A$18,Trades!$C$2:$C$74,IF($D$4="(All)","*",$D$4),Trades!$AE$2:$AE$74,IF($G$4="(All)","*",$G$4)),"")</f>
        <v/>
      </c>
      <c r="L18" s="34">
        <f>IFERROR(E18/SUMIFS(Trades!$AD$2:$AD$74,Trades!$C$2:$C$74,IF($D$4="(All)","*",$D$4),Trades!$AE$2:$AE$74,IF($G$4="(All)","*",$G$4))*100,"")</f>
        <v/>
      </c>
    </row>
    <row r="19" ht="16" customHeight="1">
      <c r="A19" s="23" t="inlineStr">
        <is>
          <t>Thursday</t>
        </is>
      </c>
      <c r="B19" s="24">
        <f>COUNTIFS(Trades!$H$2:$H$74,$A$19,Trades!$C$2:$C$74,IF($D$4="(All)","*",$D$4),Trades!$AE$2:$AE$74,IF($G$4="(All)","*",$G$4))</f>
        <v/>
      </c>
      <c r="C19" s="24">
        <f>COUNTIFS(Trades!$AE$2:$AE$74,"Win",Trades!$H$2:$H$74,$A$19,Trades!$C$2:$C$74,IF($D$4="(All)","*",$D$4),Trades!$AE$2:$AE$74,IF($G$4="(All)","*",$G$4))</f>
        <v/>
      </c>
      <c r="D19" s="34">
        <f>IFERROR(C19/B19*100,"")</f>
        <v/>
      </c>
      <c r="E19" s="33">
        <f>SUMIFS(Trades!$AD$2:$AD$74,Trades!$H$2:$H$74,$A$19,Trades!$C$2:$C$74,IF($D$4="(All)","*",$D$4),Trades!$AE$2:$AE$74,IF($G$4="(All)","*",$G$4))</f>
        <v/>
      </c>
      <c r="F19" s="33">
        <f>IFERROR(E19/B19,"")</f>
        <v/>
      </c>
      <c r="G19" s="32">
        <f>IFERROR(AVERAGEIFS(Trades!$Z$2:$Z$74,Trades!$H$2:$H$74,$A$19,Trades!$C$2:$C$74,IF($D$4="(All)","*",$D$4),Trades!$AE$2:$AE$74,IF($G$4="(All)","*",$G$4)),"")</f>
        <v/>
      </c>
      <c r="H19" s="28">
        <f>IFERROR(SUMIFS(Trades!$AD$2:$AD$74,Trades!$H$2:$H$74,$A$19,Trades!$AD$2:$AD$74,"&gt;0",Trades!$C$2:$C$74,IF($D$4="(All)","*",$D$4),Trades!$AE$2:$AE$74,IF($G$4="(All)","*",$G$4))/-SUMIFS(Trades!$AD$2:$AD$74,Trades!$H$2:$H$74,$A$19,Trades!$AD$2:$AD$74,"&lt;0",Trades!$C$2:$C$74,IF($D$4="(All)","*",$D$4),Trades!$AE$2:$AE$74,IF($G$4="(All)","*",$G$4)),"")</f>
        <v/>
      </c>
      <c r="I19" s="31">
        <f>IFERROR(AVERAGEIFS(Trades!$AH$2:$AH$74,Trades!$H$2:$H$74,$A$19,Trades!$C$2:$C$74,IF($D$4="(All)","*",$D$4),Trades!$AE$2:$AE$74,IF($G$4="(All)","*",$G$4)),"")</f>
        <v/>
      </c>
      <c r="J19" s="31">
        <f>IFERROR(AVERAGEIFS(Trades!$AI$2:$AI$74,Trades!$H$2:$H$74,$A$19,Trades!$C$2:$C$74,IF($D$4="(All)","*",$D$4),Trades!$AE$2:$AE$74,IF($G$4="(All)","*",$G$4)),"")</f>
        <v/>
      </c>
      <c r="K19" s="30">
        <f>IFERROR(AVERAGEIFS(Trades!$O$2:$O$74,Trades!$H$2:$H$74,$A$19,Trades!$C$2:$C$74,IF($D$4="(All)","*",$D$4),Trades!$AE$2:$AE$74,IF($G$4="(All)","*",$G$4)),"")</f>
        <v/>
      </c>
      <c r="L19" s="34">
        <f>IFERROR(E19/SUMIFS(Trades!$AD$2:$AD$74,Trades!$C$2:$C$74,IF($D$4="(All)","*",$D$4),Trades!$AE$2:$AE$74,IF($G$4="(All)","*",$G$4))*100,"")</f>
        <v/>
      </c>
    </row>
    <row r="20" ht="16" customHeight="1">
      <c r="A20" s="23" t="inlineStr">
        <is>
          <t>Tuesday</t>
        </is>
      </c>
      <c r="B20" s="24">
        <f>COUNTIFS(Trades!$H$2:$H$74,$A$20,Trades!$C$2:$C$74,IF($D$4="(All)","*",$D$4),Trades!$AE$2:$AE$74,IF($G$4="(All)","*",$G$4))</f>
        <v/>
      </c>
      <c r="C20" s="24">
        <f>COUNTIFS(Trades!$AE$2:$AE$74,"Win",Trades!$H$2:$H$74,$A$20,Trades!$C$2:$C$74,IF($D$4="(All)","*",$D$4),Trades!$AE$2:$AE$74,IF($G$4="(All)","*",$G$4))</f>
        <v/>
      </c>
      <c r="D20" s="34">
        <f>IFERROR(C20/B20*100,"")</f>
        <v/>
      </c>
      <c r="E20" s="33">
        <f>SUMIFS(Trades!$AD$2:$AD$74,Trades!$H$2:$H$74,$A$20,Trades!$C$2:$C$74,IF($D$4="(All)","*",$D$4),Trades!$AE$2:$AE$74,IF($G$4="(All)","*",$G$4))</f>
        <v/>
      </c>
      <c r="F20" s="33">
        <f>IFERROR(E20/B20,"")</f>
        <v/>
      </c>
      <c r="G20" s="32">
        <f>IFERROR(AVERAGEIFS(Trades!$Z$2:$Z$74,Trades!$H$2:$H$74,$A$20,Trades!$C$2:$C$74,IF($D$4="(All)","*",$D$4),Trades!$AE$2:$AE$74,IF($G$4="(All)","*",$G$4)),"")</f>
        <v/>
      </c>
      <c r="H20" s="28">
        <f>IFERROR(SUMIFS(Trades!$AD$2:$AD$74,Trades!$H$2:$H$74,$A$20,Trades!$AD$2:$AD$74,"&gt;0",Trades!$C$2:$C$74,IF($D$4="(All)","*",$D$4),Trades!$AE$2:$AE$74,IF($G$4="(All)","*",$G$4))/-SUMIFS(Trades!$AD$2:$AD$74,Trades!$H$2:$H$74,$A$20,Trades!$AD$2:$AD$74,"&lt;0",Trades!$C$2:$C$74,IF($D$4="(All)","*",$D$4),Trades!$AE$2:$AE$74,IF($G$4="(All)","*",$G$4)),"")</f>
        <v/>
      </c>
      <c r="I20" s="31">
        <f>IFERROR(AVERAGEIFS(Trades!$AH$2:$AH$74,Trades!$H$2:$H$74,$A$20,Trades!$C$2:$C$74,IF($D$4="(All)","*",$D$4),Trades!$AE$2:$AE$74,IF($G$4="(All)","*",$G$4)),"")</f>
        <v/>
      </c>
      <c r="J20" s="31">
        <f>IFERROR(AVERAGEIFS(Trades!$AI$2:$AI$74,Trades!$H$2:$H$74,$A$20,Trades!$C$2:$C$74,IF($D$4="(All)","*",$D$4),Trades!$AE$2:$AE$74,IF($G$4="(All)","*",$G$4)),"")</f>
        <v/>
      </c>
      <c r="K20" s="30">
        <f>IFERROR(AVERAGEIFS(Trades!$O$2:$O$74,Trades!$H$2:$H$74,$A$20,Trades!$C$2:$C$74,IF($D$4="(All)","*",$D$4),Trades!$AE$2:$AE$74,IF($G$4="(All)","*",$G$4)),"")</f>
        <v/>
      </c>
      <c r="L20" s="34">
        <f>IFERROR(E20/SUMIFS(Trades!$AD$2:$AD$74,Trades!$C$2:$C$74,IF($D$4="(All)","*",$D$4),Trades!$AE$2:$AE$74,IF($G$4="(All)","*",$G$4))*100,"")</f>
        <v/>
      </c>
    </row>
    <row r="21" ht="16" customHeight="1">
      <c r="A21" s="23" t="inlineStr">
        <is>
          <t>Wednesday</t>
        </is>
      </c>
      <c r="B21" s="24">
        <f>COUNTIFS(Trades!$H$2:$H$74,$A$21,Trades!$C$2:$C$74,IF($D$4="(All)","*",$D$4),Trades!$AE$2:$AE$74,IF($G$4="(All)","*",$G$4))</f>
        <v/>
      </c>
      <c r="C21" s="24">
        <f>COUNTIFS(Trades!$AE$2:$AE$74,"Win",Trades!$H$2:$H$74,$A$21,Trades!$C$2:$C$74,IF($D$4="(All)","*",$D$4),Trades!$AE$2:$AE$74,IF($G$4="(All)","*",$G$4))</f>
        <v/>
      </c>
      <c r="D21" s="34">
        <f>IFERROR(C21/B21*100,"")</f>
        <v/>
      </c>
      <c r="E21" s="33">
        <f>SUMIFS(Trades!$AD$2:$AD$74,Trades!$H$2:$H$74,$A$21,Trades!$C$2:$C$74,IF($D$4="(All)","*",$D$4),Trades!$AE$2:$AE$74,IF($G$4="(All)","*",$G$4))</f>
        <v/>
      </c>
      <c r="F21" s="33">
        <f>IFERROR(E21/B21,"")</f>
        <v/>
      </c>
      <c r="G21" s="32">
        <f>IFERROR(AVERAGEIFS(Trades!$Z$2:$Z$74,Trades!$H$2:$H$74,$A$21,Trades!$C$2:$C$74,IF($D$4="(All)","*",$D$4),Trades!$AE$2:$AE$74,IF($G$4="(All)","*",$G$4)),"")</f>
        <v/>
      </c>
      <c r="H21" s="28">
        <f>IFERROR(SUMIFS(Trades!$AD$2:$AD$74,Trades!$H$2:$H$74,$A$21,Trades!$AD$2:$AD$74,"&gt;0",Trades!$C$2:$C$74,IF($D$4="(All)","*",$D$4),Trades!$AE$2:$AE$74,IF($G$4="(All)","*",$G$4))/-SUMIFS(Trades!$AD$2:$AD$74,Trades!$H$2:$H$74,$A$21,Trades!$AD$2:$AD$74,"&lt;0",Trades!$C$2:$C$74,IF($D$4="(All)","*",$D$4),Trades!$AE$2:$AE$74,IF($G$4="(All)","*",$G$4)),"")</f>
        <v/>
      </c>
      <c r="I21" s="31">
        <f>IFERROR(AVERAGEIFS(Trades!$AH$2:$AH$74,Trades!$H$2:$H$74,$A$21,Trades!$C$2:$C$74,IF($D$4="(All)","*",$D$4),Trades!$AE$2:$AE$74,IF($G$4="(All)","*",$G$4)),"")</f>
        <v/>
      </c>
      <c r="J21" s="31">
        <f>IFERROR(AVERAGEIFS(Trades!$AI$2:$AI$74,Trades!$H$2:$H$74,$A$21,Trades!$C$2:$C$74,IF($D$4="(All)","*",$D$4),Trades!$AE$2:$AE$74,IF($G$4="(All)","*",$G$4)),"")</f>
        <v/>
      </c>
      <c r="K21" s="30">
        <f>IFERROR(AVERAGEIFS(Trades!$O$2:$O$74,Trades!$H$2:$H$74,$A$21,Trades!$C$2:$C$74,IF($D$4="(All)","*",$D$4),Trades!$AE$2:$AE$74,IF($G$4="(All)","*",$G$4)),"")</f>
        <v/>
      </c>
      <c r="L21" s="34">
        <f>IFERROR(E21/SUMIFS(Trades!$AD$2:$AD$74,Trades!$C$2:$C$74,IF($D$4="(All)","*",$D$4),Trades!$AE$2:$AE$74,IF($G$4="(All)","*",$G$4))*100,"")</f>
        <v/>
      </c>
    </row>
    <row r="22">
      <c r="A22" s="40" t="inlineStr">
        <is>
          <t>All trades</t>
        </is>
      </c>
      <c r="B22" s="41">
        <f>COUNTIFS(Trades!$C$2:$C$74,IF($D$4="(All)","*",$D$4),Trades!$AE$2:$AE$74,IF($G$4="(All)","*",$G$4))</f>
        <v/>
      </c>
      <c r="C22" s="41">
        <f>COUNTIFS(Trades!$AE$2:$AE$74,"Win",Trades!$C$2:$C$74,IF($D$4="(All)","*",$D$4),Trades!$AE$2:$AE$74,IF($G$4="(All)","*",$G$4))</f>
        <v/>
      </c>
      <c r="D22" s="42">
        <f>IFERROR(C22/B22*100,"")</f>
        <v/>
      </c>
      <c r="E22" s="43">
        <f>SUMIFS(Trades!$AD$2:$AD$74,Trades!$C$2:$C$74,IF($D$4="(All)","*",$D$4),Trades!$AE$2:$AE$74,IF($G$4="(All)","*",$G$4))</f>
        <v/>
      </c>
      <c r="F22" s="43">
        <f>IFERROR(E22/B22,"")</f>
        <v/>
      </c>
      <c r="G22" s="44">
        <f>IFERROR(AVERAGEIFS(Trades!$Z$2:$Z$74,Trades!$C$2:$C$74,IF($D$4="(All)","*",$D$4),Trades!$AE$2:$AE$74,IF($G$4="(All)","*",$G$4)),"")</f>
        <v/>
      </c>
      <c r="H22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22" s="46">
        <f>IFERROR(AVERAGEIFS(Trades!$AH$2:$AH$74,Trades!$C$2:$C$74,IF($D$4="(All)","*",$D$4),Trades!$AE$2:$AE$74,IF($G$4="(All)","*",$G$4)),"")</f>
        <v/>
      </c>
      <c r="J22" s="46">
        <f>IFERROR(AVERAGEIFS(Trades!$AI$2:$AI$74,Trades!$C$2:$C$74,IF($D$4="(All)","*",$D$4),Trades!$AE$2:$AE$74,IF($G$4="(All)","*",$G$4)),"")</f>
        <v/>
      </c>
      <c r="K22" s="47">
        <f>IFERROR(AVERAGEIFS(Trades!$O$2:$O$74,Trades!$C$2:$C$74,IF($D$4="(All)","*",$D$4),Trades!$AE$2:$AE$74,IF($G$4="(All)","*",$G$4)),"")</f>
        <v/>
      </c>
      <c r="L22" s="42">
        <f>IFERROR(E22/SUMIFS(Trades!$AD$2:$AD$74,Trades!$C$2:$C$74,IF($D$4="(All)","*",$D$4),Trades!$AE$2:$AE$74,IF($G$4="(All)","*",$G$4))*100,"")</f>
        <v/>
      </c>
    </row>
    <row r="25">
      <c r="A25" s="4" t="inlineStr">
        <is>
          <t>By hour</t>
        </is>
      </c>
      <c r="E25" s="39" t="inlineStr">
        <is>
          <t>Hour of entry. Thin rows are noise - read the trade count before the net.</t>
        </is>
      </c>
    </row>
    <row r="26" ht="28" customHeight="1">
      <c r="A26" s="22" t="inlineStr">
        <is>
          <t>Hour</t>
        </is>
      </c>
      <c r="B26" s="22" t="inlineStr">
        <is>
          <t>Trades</t>
        </is>
      </c>
      <c r="C26" s="22" t="inlineStr">
        <is>
          <t>Wins</t>
        </is>
      </c>
      <c r="D26" s="22" t="inlineStr">
        <is>
          <t>Win %</t>
        </is>
      </c>
      <c r="E26" s="22" t="inlineStr">
        <is>
          <t>Net</t>
        </is>
      </c>
      <c r="F26" s="22" t="inlineStr">
        <is>
          <t>Expectancy</t>
        </is>
      </c>
      <c r="G26" s="22" t="inlineStr">
        <is>
          <t>Avg R</t>
        </is>
      </c>
      <c r="H26" s="22" t="inlineStr">
        <is>
          <t>Profit factor</t>
        </is>
      </c>
      <c r="I26" s="22" t="inlineStr">
        <is>
          <t>Avg MFE</t>
        </is>
      </c>
      <c r="J26" s="22" t="inlineStr">
        <is>
          <t>Avg MAE</t>
        </is>
      </c>
      <c r="K26" s="22" t="inlineStr">
        <is>
          <t>Avg dur (min)</t>
        </is>
      </c>
      <c r="L26" s="22" t="inlineStr">
        <is>
          <t>Share of net</t>
        </is>
      </c>
    </row>
    <row r="27" ht="16" customHeight="1">
      <c r="A27" s="23" t="n">
        <v>7</v>
      </c>
      <c r="B27" s="24">
        <f>COUNTIFS(Trades!$I$2:$I$74,$A$27,Trades!$C$2:$C$74,IF($D$4="(All)","*",$D$4),Trades!$AE$2:$AE$74,IF($G$4="(All)","*",$G$4))</f>
        <v/>
      </c>
      <c r="C27" s="24">
        <f>COUNTIFS(Trades!$AE$2:$AE$74,"Win",Trades!$I$2:$I$74,$A$27,Trades!$C$2:$C$74,IF($D$4="(All)","*",$D$4),Trades!$AE$2:$AE$74,IF($G$4="(All)","*",$G$4))</f>
        <v/>
      </c>
      <c r="D27" s="34">
        <f>IFERROR(C27/B27*100,"")</f>
        <v/>
      </c>
      <c r="E27" s="33">
        <f>SUMIFS(Trades!$AD$2:$AD$74,Trades!$I$2:$I$74,$A$27,Trades!$C$2:$C$74,IF($D$4="(All)","*",$D$4),Trades!$AE$2:$AE$74,IF($G$4="(All)","*",$G$4))</f>
        <v/>
      </c>
      <c r="F27" s="33">
        <f>IFERROR(E27/B27,"")</f>
        <v/>
      </c>
      <c r="G27" s="32">
        <f>IFERROR(AVERAGEIFS(Trades!$Z$2:$Z$74,Trades!$I$2:$I$74,$A$27,Trades!$C$2:$C$74,IF($D$4="(All)","*",$D$4),Trades!$AE$2:$AE$74,IF($G$4="(All)","*",$G$4)),"")</f>
        <v/>
      </c>
      <c r="H27" s="28">
        <f>IFERROR(SUMIFS(Trades!$AD$2:$AD$74,Trades!$I$2:$I$74,$A$27,Trades!$AD$2:$AD$74,"&gt;0",Trades!$C$2:$C$74,IF($D$4="(All)","*",$D$4),Trades!$AE$2:$AE$74,IF($G$4="(All)","*",$G$4))/-SUMIFS(Trades!$AD$2:$AD$74,Trades!$I$2:$I$74,$A$27,Trades!$AD$2:$AD$74,"&lt;0",Trades!$C$2:$C$74,IF($D$4="(All)","*",$D$4),Trades!$AE$2:$AE$74,IF($G$4="(All)","*",$G$4)),"")</f>
        <v/>
      </c>
      <c r="I27" s="31">
        <f>IFERROR(AVERAGEIFS(Trades!$AH$2:$AH$74,Trades!$I$2:$I$74,$A$27,Trades!$C$2:$C$74,IF($D$4="(All)","*",$D$4),Trades!$AE$2:$AE$74,IF($G$4="(All)","*",$G$4)),"")</f>
        <v/>
      </c>
      <c r="J27" s="31">
        <f>IFERROR(AVERAGEIFS(Trades!$AI$2:$AI$74,Trades!$I$2:$I$74,$A$27,Trades!$C$2:$C$74,IF($D$4="(All)","*",$D$4),Trades!$AE$2:$AE$74,IF($G$4="(All)","*",$G$4)),"")</f>
        <v/>
      </c>
      <c r="K27" s="30">
        <f>IFERROR(AVERAGEIFS(Trades!$O$2:$O$74,Trades!$I$2:$I$74,$A$27,Trades!$C$2:$C$74,IF($D$4="(All)","*",$D$4),Trades!$AE$2:$AE$74,IF($G$4="(All)","*",$G$4)),"")</f>
        <v/>
      </c>
      <c r="L27" s="34">
        <f>IFERROR(E27/SUMIFS(Trades!$AD$2:$AD$74,Trades!$C$2:$C$74,IF($D$4="(All)","*",$D$4),Trades!$AE$2:$AE$74,IF($G$4="(All)","*",$G$4))*100,"")</f>
        <v/>
      </c>
    </row>
    <row r="28" ht="16" customHeight="1">
      <c r="A28" s="23" t="n">
        <v>8</v>
      </c>
      <c r="B28" s="24">
        <f>COUNTIFS(Trades!$I$2:$I$74,$A$28,Trades!$C$2:$C$74,IF($D$4="(All)","*",$D$4),Trades!$AE$2:$AE$74,IF($G$4="(All)","*",$G$4))</f>
        <v/>
      </c>
      <c r="C28" s="24">
        <f>COUNTIFS(Trades!$AE$2:$AE$74,"Win",Trades!$I$2:$I$74,$A$28,Trades!$C$2:$C$74,IF($D$4="(All)","*",$D$4),Trades!$AE$2:$AE$74,IF($G$4="(All)","*",$G$4))</f>
        <v/>
      </c>
      <c r="D28" s="34">
        <f>IFERROR(C28/B28*100,"")</f>
        <v/>
      </c>
      <c r="E28" s="33">
        <f>SUMIFS(Trades!$AD$2:$AD$74,Trades!$I$2:$I$74,$A$28,Trades!$C$2:$C$74,IF($D$4="(All)","*",$D$4),Trades!$AE$2:$AE$74,IF($G$4="(All)","*",$G$4))</f>
        <v/>
      </c>
      <c r="F28" s="33">
        <f>IFERROR(E28/B28,"")</f>
        <v/>
      </c>
      <c r="G28" s="32">
        <f>IFERROR(AVERAGEIFS(Trades!$Z$2:$Z$74,Trades!$I$2:$I$74,$A$28,Trades!$C$2:$C$74,IF($D$4="(All)","*",$D$4),Trades!$AE$2:$AE$74,IF($G$4="(All)","*",$G$4)),"")</f>
        <v/>
      </c>
      <c r="H28" s="28">
        <f>IFERROR(SUMIFS(Trades!$AD$2:$AD$74,Trades!$I$2:$I$74,$A$28,Trades!$AD$2:$AD$74,"&gt;0",Trades!$C$2:$C$74,IF($D$4="(All)","*",$D$4),Trades!$AE$2:$AE$74,IF($G$4="(All)","*",$G$4))/-SUMIFS(Trades!$AD$2:$AD$74,Trades!$I$2:$I$74,$A$28,Trades!$AD$2:$AD$74,"&lt;0",Trades!$C$2:$C$74,IF($D$4="(All)","*",$D$4),Trades!$AE$2:$AE$74,IF($G$4="(All)","*",$G$4)),"")</f>
        <v/>
      </c>
      <c r="I28" s="31">
        <f>IFERROR(AVERAGEIFS(Trades!$AH$2:$AH$74,Trades!$I$2:$I$74,$A$28,Trades!$C$2:$C$74,IF($D$4="(All)","*",$D$4),Trades!$AE$2:$AE$74,IF($G$4="(All)","*",$G$4)),"")</f>
        <v/>
      </c>
      <c r="J28" s="31">
        <f>IFERROR(AVERAGEIFS(Trades!$AI$2:$AI$74,Trades!$I$2:$I$74,$A$28,Trades!$C$2:$C$74,IF($D$4="(All)","*",$D$4),Trades!$AE$2:$AE$74,IF($G$4="(All)","*",$G$4)),"")</f>
        <v/>
      </c>
      <c r="K28" s="30">
        <f>IFERROR(AVERAGEIFS(Trades!$O$2:$O$74,Trades!$I$2:$I$74,$A$28,Trades!$C$2:$C$74,IF($D$4="(All)","*",$D$4),Trades!$AE$2:$AE$74,IF($G$4="(All)","*",$G$4)),"")</f>
        <v/>
      </c>
      <c r="L28" s="34">
        <f>IFERROR(E28/SUMIFS(Trades!$AD$2:$AD$74,Trades!$C$2:$C$74,IF($D$4="(All)","*",$D$4),Trades!$AE$2:$AE$74,IF($G$4="(All)","*",$G$4))*100,"")</f>
        <v/>
      </c>
    </row>
    <row r="29" ht="16" customHeight="1">
      <c r="A29" s="23" t="n">
        <v>9</v>
      </c>
      <c r="B29" s="24">
        <f>COUNTIFS(Trades!$I$2:$I$74,$A$29,Trades!$C$2:$C$74,IF($D$4="(All)","*",$D$4),Trades!$AE$2:$AE$74,IF($G$4="(All)","*",$G$4))</f>
        <v/>
      </c>
      <c r="C29" s="24">
        <f>COUNTIFS(Trades!$AE$2:$AE$74,"Win",Trades!$I$2:$I$74,$A$29,Trades!$C$2:$C$74,IF($D$4="(All)","*",$D$4),Trades!$AE$2:$AE$74,IF($G$4="(All)","*",$G$4))</f>
        <v/>
      </c>
      <c r="D29" s="34">
        <f>IFERROR(C29/B29*100,"")</f>
        <v/>
      </c>
      <c r="E29" s="33">
        <f>SUMIFS(Trades!$AD$2:$AD$74,Trades!$I$2:$I$74,$A$29,Trades!$C$2:$C$74,IF($D$4="(All)","*",$D$4),Trades!$AE$2:$AE$74,IF($G$4="(All)","*",$G$4))</f>
        <v/>
      </c>
      <c r="F29" s="33">
        <f>IFERROR(E29/B29,"")</f>
        <v/>
      </c>
      <c r="G29" s="32">
        <f>IFERROR(AVERAGEIFS(Trades!$Z$2:$Z$74,Trades!$I$2:$I$74,$A$29,Trades!$C$2:$C$74,IF($D$4="(All)","*",$D$4),Trades!$AE$2:$AE$74,IF($G$4="(All)","*",$G$4)),"")</f>
        <v/>
      </c>
      <c r="H29" s="28">
        <f>IFERROR(SUMIFS(Trades!$AD$2:$AD$74,Trades!$I$2:$I$74,$A$29,Trades!$AD$2:$AD$74,"&gt;0",Trades!$C$2:$C$74,IF($D$4="(All)","*",$D$4),Trades!$AE$2:$AE$74,IF($G$4="(All)","*",$G$4))/-SUMIFS(Trades!$AD$2:$AD$74,Trades!$I$2:$I$74,$A$29,Trades!$AD$2:$AD$74,"&lt;0",Trades!$C$2:$C$74,IF($D$4="(All)","*",$D$4),Trades!$AE$2:$AE$74,IF($G$4="(All)","*",$G$4)),"")</f>
        <v/>
      </c>
      <c r="I29" s="31">
        <f>IFERROR(AVERAGEIFS(Trades!$AH$2:$AH$74,Trades!$I$2:$I$74,$A$29,Trades!$C$2:$C$74,IF($D$4="(All)","*",$D$4),Trades!$AE$2:$AE$74,IF($G$4="(All)","*",$G$4)),"")</f>
        <v/>
      </c>
      <c r="J29" s="31">
        <f>IFERROR(AVERAGEIFS(Trades!$AI$2:$AI$74,Trades!$I$2:$I$74,$A$29,Trades!$C$2:$C$74,IF($D$4="(All)","*",$D$4),Trades!$AE$2:$AE$74,IF($G$4="(All)","*",$G$4)),"")</f>
        <v/>
      </c>
      <c r="K29" s="30">
        <f>IFERROR(AVERAGEIFS(Trades!$O$2:$O$74,Trades!$I$2:$I$74,$A$29,Trades!$C$2:$C$74,IF($D$4="(All)","*",$D$4),Trades!$AE$2:$AE$74,IF($G$4="(All)","*",$G$4)),"")</f>
        <v/>
      </c>
      <c r="L29" s="34">
        <f>IFERROR(E29/SUMIFS(Trades!$AD$2:$AD$74,Trades!$C$2:$C$74,IF($D$4="(All)","*",$D$4),Trades!$AE$2:$AE$74,IF($G$4="(All)","*",$G$4))*100,"")</f>
        <v/>
      </c>
    </row>
    <row r="30" ht="16" customHeight="1">
      <c r="A30" s="23" t="n">
        <v>10</v>
      </c>
      <c r="B30" s="24">
        <f>COUNTIFS(Trades!$I$2:$I$74,$A$30,Trades!$C$2:$C$74,IF($D$4="(All)","*",$D$4),Trades!$AE$2:$AE$74,IF($G$4="(All)","*",$G$4))</f>
        <v/>
      </c>
      <c r="C30" s="24">
        <f>COUNTIFS(Trades!$AE$2:$AE$74,"Win",Trades!$I$2:$I$74,$A$30,Trades!$C$2:$C$74,IF($D$4="(All)","*",$D$4),Trades!$AE$2:$AE$74,IF($G$4="(All)","*",$G$4))</f>
        <v/>
      </c>
      <c r="D30" s="34">
        <f>IFERROR(C30/B30*100,"")</f>
        <v/>
      </c>
      <c r="E30" s="33">
        <f>SUMIFS(Trades!$AD$2:$AD$74,Trades!$I$2:$I$74,$A$30,Trades!$C$2:$C$74,IF($D$4="(All)","*",$D$4),Trades!$AE$2:$AE$74,IF($G$4="(All)","*",$G$4))</f>
        <v/>
      </c>
      <c r="F30" s="33">
        <f>IFERROR(E30/B30,"")</f>
        <v/>
      </c>
      <c r="G30" s="32">
        <f>IFERROR(AVERAGEIFS(Trades!$Z$2:$Z$74,Trades!$I$2:$I$74,$A$30,Trades!$C$2:$C$74,IF($D$4="(All)","*",$D$4),Trades!$AE$2:$AE$74,IF($G$4="(All)","*",$G$4)),"")</f>
        <v/>
      </c>
      <c r="H30" s="28">
        <f>IFERROR(SUMIFS(Trades!$AD$2:$AD$74,Trades!$I$2:$I$74,$A$30,Trades!$AD$2:$AD$74,"&gt;0",Trades!$C$2:$C$74,IF($D$4="(All)","*",$D$4),Trades!$AE$2:$AE$74,IF($G$4="(All)","*",$G$4))/-SUMIFS(Trades!$AD$2:$AD$74,Trades!$I$2:$I$74,$A$30,Trades!$AD$2:$AD$74,"&lt;0",Trades!$C$2:$C$74,IF($D$4="(All)","*",$D$4),Trades!$AE$2:$AE$74,IF($G$4="(All)","*",$G$4)),"")</f>
        <v/>
      </c>
      <c r="I30" s="31">
        <f>IFERROR(AVERAGEIFS(Trades!$AH$2:$AH$74,Trades!$I$2:$I$74,$A$30,Trades!$C$2:$C$74,IF($D$4="(All)","*",$D$4),Trades!$AE$2:$AE$74,IF($G$4="(All)","*",$G$4)),"")</f>
        <v/>
      </c>
      <c r="J30" s="31">
        <f>IFERROR(AVERAGEIFS(Trades!$AI$2:$AI$74,Trades!$I$2:$I$74,$A$30,Trades!$C$2:$C$74,IF($D$4="(All)","*",$D$4),Trades!$AE$2:$AE$74,IF($G$4="(All)","*",$G$4)),"")</f>
        <v/>
      </c>
      <c r="K30" s="30">
        <f>IFERROR(AVERAGEIFS(Trades!$O$2:$O$74,Trades!$I$2:$I$74,$A$30,Trades!$C$2:$C$74,IF($D$4="(All)","*",$D$4),Trades!$AE$2:$AE$74,IF($G$4="(All)","*",$G$4)),"")</f>
        <v/>
      </c>
      <c r="L30" s="34">
        <f>IFERROR(E30/SUMIFS(Trades!$AD$2:$AD$74,Trades!$C$2:$C$74,IF($D$4="(All)","*",$D$4),Trades!$AE$2:$AE$74,IF($G$4="(All)","*",$G$4))*100,"")</f>
        <v/>
      </c>
    </row>
    <row r="31" ht="16" customHeight="1">
      <c r="A31" s="23" t="n">
        <v>11</v>
      </c>
      <c r="B31" s="24">
        <f>COUNTIFS(Trades!$I$2:$I$74,$A$31,Trades!$C$2:$C$74,IF($D$4="(All)","*",$D$4),Trades!$AE$2:$AE$74,IF($G$4="(All)","*",$G$4))</f>
        <v/>
      </c>
      <c r="C31" s="24">
        <f>COUNTIFS(Trades!$AE$2:$AE$74,"Win",Trades!$I$2:$I$74,$A$31,Trades!$C$2:$C$74,IF($D$4="(All)","*",$D$4),Trades!$AE$2:$AE$74,IF($G$4="(All)","*",$G$4))</f>
        <v/>
      </c>
      <c r="D31" s="34">
        <f>IFERROR(C31/B31*100,"")</f>
        <v/>
      </c>
      <c r="E31" s="33">
        <f>SUMIFS(Trades!$AD$2:$AD$74,Trades!$I$2:$I$74,$A$31,Trades!$C$2:$C$74,IF($D$4="(All)","*",$D$4),Trades!$AE$2:$AE$74,IF($G$4="(All)","*",$G$4))</f>
        <v/>
      </c>
      <c r="F31" s="33">
        <f>IFERROR(E31/B31,"")</f>
        <v/>
      </c>
      <c r="G31" s="32">
        <f>IFERROR(AVERAGEIFS(Trades!$Z$2:$Z$74,Trades!$I$2:$I$74,$A$31,Trades!$C$2:$C$74,IF($D$4="(All)","*",$D$4),Trades!$AE$2:$AE$74,IF($G$4="(All)","*",$G$4)),"")</f>
        <v/>
      </c>
      <c r="H31" s="28">
        <f>IFERROR(SUMIFS(Trades!$AD$2:$AD$74,Trades!$I$2:$I$74,$A$31,Trades!$AD$2:$AD$74,"&gt;0",Trades!$C$2:$C$74,IF($D$4="(All)","*",$D$4),Trades!$AE$2:$AE$74,IF($G$4="(All)","*",$G$4))/-SUMIFS(Trades!$AD$2:$AD$74,Trades!$I$2:$I$74,$A$31,Trades!$AD$2:$AD$74,"&lt;0",Trades!$C$2:$C$74,IF($D$4="(All)","*",$D$4),Trades!$AE$2:$AE$74,IF($G$4="(All)","*",$G$4)),"")</f>
        <v/>
      </c>
      <c r="I31" s="31">
        <f>IFERROR(AVERAGEIFS(Trades!$AH$2:$AH$74,Trades!$I$2:$I$74,$A$31,Trades!$C$2:$C$74,IF($D$4="(All)","*",$D$4),Trades!$AE$2:$AE$74,IF($G$4="(All)","*",$G$4)),"")</f>
        <v/>
      </c>
      <c r="J31" s="31">
        <f>IFERROR(AVERAGEIFS(Trades!$AI$2:$AI$74,Trades!$I$2:$I$74,$A$31,Trades!$C$2:$C$74,IF($D$4="(All)","*",$D$4),Trades!$AE$2:$AE$74,IF($G$4="(All)","*",$G$4)),"")</f>
        <v/>
      </c>
      <c r="K31" s="30">
        <f>IFERROR(AVERAGEIFS(Trades!$O$2:$O$74,Trades!$I$2:$I$74,$A$31,Trades!$C$2:$C$74,IF($D$4="(All)","*",$D$4),Trades!$AE$2:$AE$74,IF($G$4="(All)","*",$G$4)),"")</f>
        <v/>
      </c>
      <c r="L31" s="34">
        <f>IFERROR(E31/SUMIFS(Trades!$AD$2:$AD$74,Trades!$C$2:$C$74,IF($D$4="(All)","*",$D$4),Trades!$AE$2:$AE$74,IF($G$4="(All)","*",$G$4))*100,"")</f>
        <v/>
      </c>
    </row>
    <row r="32" ht="16" customHeight="1">
      <c r="A32" s="23" t="n">
        <v>13</v>
      </c>
      <c r="B32" s="24">
        <f>COUNTIFS(Trades!$I$2:$I$74,$A$32,Trades!$C$2:$C$74,IF($D$4="(All)","*",$D$4),Trades!$AE$2:$AE$74,IF($G$4="(All)","*",$G$4))</f>
        <v/>
      </c>
      <c r="C32" s="24">
        <f>COUNTIFS(Trades!$AE$2:$AE$74,"Win",Trades!$I$2:$I$74,$A$32,Trades!$C$2:$C$74,IF($D$4="(All)","*",$D$4),Trades!$AE$2:$AE$74,IF($G$4="(All)","*",$G$4))</f>
        <v/>
      </c>
      <c r="D32" s="34">
        <f>IFERROR(C32/B32*100,"")</f>
        <v/>
      </c>
      <c r="E32" s="33">
        <f>SUMIFS(Trades!$AD$2:$AD$74,Trades!$I$2:$I$74,$A$32,Trades!$C$2:$C$74,IF($D$4="(All)","*",$D$4),Trades!$AE$2:$AE$74,IF($G$4="(All)","*",$G$4))</f>
        <v/>
      </c>
      <c r="F32" s="33">
        <f>IFERROR(E32/B32,"")</f>
        <v/>
      </c>
      <c r="G32" s="32">
        <f>IFERROR(AVERAGEIFS(Trades!$Z$2:$Z$74,Trades!$I$2:$I$74,$A$32,Trades!$C$2:$C$74,IF($D$4="(All)","*",$D$4),Trades!$AE$2:$AE$74,IF($G$4="(All)","*",$G$4)),"")</f>
        <v/>
      </c>
      <c r="H32" s="28">
        <f>IFERROR(SUMIFS(Trades!$AD$2:$AD$74,Trades!$I$2:$I$74,$A$32,Trades!$AD$2:$AD$74,"&gt;0",Trades!$C$2:$C$74,IF($D$4="(All)","*",$D$4),Trades!$AE$2:$AE$74,IF($G$4="(All)","*",$G$4))/-SUMIFS(Trades!$AD$2:$AD$74,Trades!$I$2:$I$74,$A$32,Trades!$AD$2:$AD$74,"&lt;0",Trades!$C$2:$C$74,IF($D$4="(All)","*",$D$4),Trades!$AE$2:$AE$74,IF($G$4="(All)","*",$G$4)),"")</f>
        <v/>
      </c>
      <c r="I32" s="31">
        <f>IFERROR(AVERAGEIFS(Trades!$AH$2:$AH$74,Trades!$I$2:$I$74,$A$32,Trades!$C$2:$C$74,IF($D$4="(All)","*",$D$4),Trades!$AE$2:$AE$74,IF($G$4="(All)","*",$G$4)),"")</f>
        <v/>
      </c>
      <c r="J32" s="31">
        <f>IFERROR(AVERAGEIFS(Trades!$AI$2:$AI$74,Trades!$I$2:$I$74,$A$32,Trades!$C$2:$C$74,IF($D$4="(All)","*",$D$4),Trades!$AE$2:$AE$74,IF($G$4="(All)","*",$G$4)),"")</f>
        <v/>
      </c>
      <c r="K32" s="30">
        <f>IFERROR(AVERAGEIFS(Trades!$O$2:$O$74,Trades!$I$2:$I$74,$A$32,Trades!$C$2:$C$74,IF($D$4="(All)","*",$D$4),Trades!$AE$2:$AE$74,IF($G$4="(All)","*",$G$4)),"")</f>
        <v/>
      </c>
      <c r="L32" s="34">
        <f>IFERROR(E32/SUMIFS(Trades!$AD$2:$AD$74,Trades!$C$2:$C$74,IF($D$4="(All)","*",$D$4),Trades!$AE$2:$AE$74,IF($G$4="(All)","*",$G$4))*100,"")</f>
        <v/>
      </c>
    </row>
    <row r="33" ht="16" customHeight="1">
      <c r="A33" s="23" t="n">
        <v>14</v>
      </c>
      <c r="B33" s="24">
        <f>COUNTIFS(Trades!$I$2:$I$74,$A$33,Trades!$C$2:$C$74,IF($D$4="(All)","*",$D$4),Trades!$AE$2:$AE$74,IF($G$4="(All)","*",$G$4))</f>
        <v/>
      </c>
      <c r="C33" s="24">
        <f>COUNTIFS(Trades!$AE$2:$AE$74,"Win",Trades!$I$2:$I$74,$A$33,Trades!$C$2:$C$74,IF($D$4="(All)","*",$D$4),Trades!$AE$2:$AE$74,IF($G$4="(All)","*",$G$4))</f>
        <v/>
      </c>
      <c r="D33" s="34">
        <f>IFERROR(C33/B33*100,"")</f>
        <v/>
      </c>
      <c r="E33" s="33">
        <f>SUMIFS(Trades!$AD$2:$AD$74,Trades!$I$2:$I$74,$A$33,Trades!$C$2:$C$74,IF($D$4="(All)","*",$D$4),Trades!$AE$2:$AE$74,IF($G$4="(All)","*",$G$4))</f>
        <v/>
      </c>
      <c r="F33" s="33">
        <f>IFERROR(E33/B33,"")</f>
        <v/>
      </c>
      <c r="G33" s="32">
        <f>IFERROR(AVERAGEIFS(Trades!$Z$2:$Z$74,Trades!$I$2:$I$74,$A$33,Trades!$C$2:$C$74,IF($D$4="(All)","*",$D$4),Trades!$AE$2:$AE$74,IF($G$4="(All)","*",$G$4)),"")</f>
        <v/>
      </c>
      <c r="H33" s="28">
        <f>IFERROR(SUMIFS(Trades!$AD$2:$AD$74,Trades!$I$2:$I$74,$A$33,Trades!$AD$2:$AD$74,"&gt;0",Trades!$C$2:$C$74,IF($D$4="(All)","*",$D$4),Trades!$AE$2:$AE$74,IF($G$4="(All)","*",$G$4))/-SUMIFS(Trades!$AD$2:$AD$74,Trades!$I$2:$I$74,$A$33,Trades!$AD$2:$AD$74,"&lt;0",Trades!$C$2:$C$74,IF($D$4="(All)","*",$D$4),Trades!$AE$2:$AE$74,IF($G$4="(All)","*",$G$4)),"")</f>
        <v/>
      </c>
      <c r="I33" s="31">
        <f>IFERROR(AVERAGEIFS(Trades!$AH$2:$AH$74,Trades!$I$2:$I$74,$A$33,Trades!$C$2:$C$74,IF($D$4="(All)","*",$D$4),Trades!$AE$2:$AE$74,IF($G$4="(All)","*",$G$4)),"")</f>
        <v/>
      </c>
      <c r="J33" s="31">
        <f>IFERROR(AVERAGEIFS(Trades!$AI$2:$AI$74,Trades!$I$2:$I$74,$A$33,Trades!$C$2:$C$74,IF($D$4="(All)","*",$D$4),Trades!$AE$2:$AE$74,IF($G$4="(All)","*",$G$4)),"")</f>
        <v/>
      </c>
      <c r="K33" s="30">
        <f>IFERROR(AVERAGEIFS(Trades!$O$2:$O$74,Trades!$I$2:$I$74,$A$33,Trades!$C$2:$C$74,IF($D$4="(All)","*",$D$4),Trades!$AE$2:$AE$74,IF($G$4="(All)","*",$G$4)),"")</f>
        <v/>
      </c>
      <c r="L33" s="34">
        <f>IFERROR(E33/SUMIFS(Trades!$AD$2:$AD$74,Trades!$C$2:$C$74,IF($D$4="(All)","*",$D$4),Trades!$AE$2:$AE$74,IF($G$4="(All)","*",$G$4))*100,"")</f>
        <v/>
      </c>
    </row>
    <row r="34" ht="16" customHeight="1">
      <c r="A34" s="23" t="n">
        <v>15</v>
      </c>
      <c r="B34" s="24">
        <f>COUNTIFS(Trades!$I$2:$I$74,$A$34,Trades!$C$2:$C$74,IF($D$4="(All)","*",$D$4),Trades!$AE$2:$AE$74,IF($G$4="(All)","*",$G$4))</f>
        <v/>
      </c>
      <c r="C34" s="24">
        <f>COUNTIFS(Trades!$AE$2:$AE$74,"Win",Trades!$I$2:$I$74,$A$34,Trades!$C$2:$C$74,IF($D$4="(All)","*",$D$4),Trades!$AE$2:$AE$74,IF($G$4="(All)","*",$G$4))</f>
        <v/>
      </c>
      <c r="D34" s="34">
        <f>IFERROR(C34/B34*100,"")</f>
        <v/>
      </c>
      <c r="E34" s="33">
        <f>SUMIFS(Trades!$AD$2:$AD$74,Trades!$I$2:$I$74,$A$34,Trades!$C$2:$C$74,IF($D$4="(All)","*",$D$4),Trades!$AE$2:$AE$74,IF($G$4="(All)","*",$G$4))</f>
        <v/>
      </c>
      <c r="F34" s="33">
        <f>IFERROR(E34/B34,"")</f>
        <v/>
      </c>
      <c r="G34" s="32">
        <f>IFERROR(AVERAGEIFS(Trades!$Z$2:$Z$74,Trades!$I$2:$I$74,$A$34,Trades!$C$2:$C$74,IF($D$4="(All)","*",$D$4),Trades!$AE$2:$AE$74,IF($G$4="(All)","*",$G$4)),"")</f>
        <v/>
      </c>
      <c r="H34" s="28">
        <f>IFERROR(SUMIFS(Trades!$AD$2:$AD$74,Trades!$I$2:$I$74,$A$34,Trades!$AD$2:$AD$74,"&gt;0",Trades!$C$2:$C$74,IF($D$4="(All)","*",$D$4),Trades!$AE$2:$AE$74,IF($G$4="(All)","*",$G$4))/-SUMIFS(Trades!$AD$2:$AD$74,Trades!$I$2:$I$74,$A$34,Trades!$AD$2:$AD$74,"&lt;0",Trades!$C$2:$C$74,IF($D$4="(All)","*",$D$4),Trades!$AE$2:$AE$74,IF($G$4="(All)","*",$G$4)),"")</f>
        <v/>
      </c>
      <c r="I34" s="31">
        <f>IFERROR(AVERAGEIFS(Trades!$AH$2:$AH$74,Trades!$I$2:$I$74,$A$34,Trades!$C$2:$C$74,IF($D$4="(All)","*",$D$4),Trades!$AE$2:$AE$74,IF($G$4="(All)","*",$G$4)),"")</f>
        <v/>
      </c>
      <c r="J34" s="31">
        <f>IFERROR(AVERAGEIFS(Trades!$AI$2:$AI$74,Trades!$I$2:$I$74,$A$34,Trades!$C$2:$C$74,IF($D$4="(All)","*",$D$4),Trades!$AE$2:$AE$74,IF($G$4="(All)","*",$G$4)),"")</f>
        <v/>
      </c>
      <c r="K34" s="30">
        <f>IFERROR(AVERAGEIFS(Trades!$O$2:$O$74,Trades!$I$2:$I$74,$A$34,Trades!$C$2:$C$74,IF($D$4="(All)","*",$D$4),Trades!$AE$2:$AE$74,IF($G$4="(All)","*",$G$4)),"")</f>
        <v/>
      </c>
      <c r="L34" s="34">
        <f>IFERROR(E34/SUMIFS(Trades!$AD$2:$AD$74,Trades!$C$2:$C$74,IF($D$4="(All)","*",$D$4),Trades!$AE$2:$AE$74,IF($G$4="(All)","*",$G$4))*100,"")</f>
        <v/>
      </c>
    </row>
    <row r="35" ht="16" customHeight="1">
      <c r="A35" s="23" t="n">
        <v>16</v>
      </c>
      <c r="B35" s="24">
        <f>COUNTIFS(Trades!$I$2:$I$74,$A$35,Trades!$C$2:$C$74,IF($D$4="(All)","*",$D$4),Trades!$AE$2:$AE$74,IF($G$4="(All)","*",$G$4))</f>
        <v/>
      </c>
      <c r="C35" s="24">
        <f>COUNTIFS(Trades!$AE$2:$AE$74,"Win",Trades!$I$2:$I$74,$A$35,Trades!$C$2:$C$74,IF($D$4="(All)","*",$D$4),Trades!$AE$2:$AE$74,IF($G$4="(All)","*",$G$4))</f>
        <v/>
      </c>
      <c r="D35" s="34">
        <f>IFERROR(C35/B35*100,"")</f>
        <v/>
      </c>
      <c r="E35" s="33">
        <f>SUMIFS(Trades!$AD$2:$AD$74,Trades!$I$2:$I$74,$A$35,Trades!$C$2:$C$74,IF($D$4="(All)","*",$D$4),Trades!$AE$2:$AE$74,IF($G$4="(All)","*",$G$4))</f>
        <v/>
      </c>
      <c r="F35" s="33">
        <f>IFERROR(E35/B35,"")</f>
        <v/>
      </c>
      <c r="G35" s="32">
        <f>IFERROR(AVERAGEIFS(Trades!$Z$2:$Z$74,Trades!$I$2:$I$74,$A$35,Trades!$C$2:$C$74,IF($D$4="(All)","*",$D$4),Trades!$AE$2:$AE$74,IF($G$4="(All)","*",$G$4)),"")</f>
        <v/>
      </c>
      <c r="H35" s="28">
        <f>IFERROR(SUMIFS(Trades!$AD$2:$AD$74,Trades!$I$2:$I$74,$A$35,Trades!$AD$2:$AD$74,"&gt;0",Trades!$C$2:$C$74,IF($D$4="(All)","*",$D$4),Trades!$AE$2:$AE$74,IF($G$4="(All)","*",$G$4))/-SUMIFS(Trades!$AD$2:$AD$74,Trades!$I$2:$I$74,$A$35,Trades!$AD$2:$AD$74,"&lt;0",Trades!$C$2:$C$74,IF($D$4="(All)","*",$D$4),Trades!$AE$2:$AE$74,IF($G$4="(All)","*",$G$4)),"")</f>
        <v/>
      </c>
      <c r="I35" s="31">
        <f>IFERROR(AVERAGEIFS(Trades!$AH$2:$AH$74,Trades!$I$2:$I$74,$A$35,Trades!$C$2:$C$74,IF($D$4="(All)","*",$D$4),Trades!$AE$2:$AE$74,IF($G$4="(All)","*",$G$4)),"")</f>
        <v/>
      </c>
      <c r="J35" s="31">
        <f>IFERROR(AVERAGEIFS(Trades!$AI$2:$AI$74,Trades!$I$2:$I$74,$A$35,Trades!$C$2:$C$74,IF($D$4="(All)","*",$D$4),Trades!$AE$2:$AE$74,IF($G$4="(All)","*",$G$4)),"")</f>
        <v/>
      </c>
      <c r="K35" s="30">
        <f>IFERROR(AVERAGEIFS(Trades!$O$2:$O$74,Trades!$I$2:$I$74,$A$35,Trades!$C$2:$C$74,IF($D$4="(All)","*",$D$4),Trades!$AE$2:$AE$74,IF($G$4="(All)","*",$G$4)),"")</f>
        <v/>
      </c>
      <c r="L35" s="34">
        <f>IFERROR(E35/SUMIFS(Trades!$AD$2:$AD$74,Trades!$C$2:$C$74,IF($D$4="(All)","*",$D$4),Trades!$AE$2:$AE$74,IF($G$4="(All)","*",$G$4))*100,"")</f>
        <v/>
      </c>
    </row>
    <row r="36" ht="16" customHeight="1">
      <c r="A36" s="23" t="n">
        <v>17</v>
      </c>
      <c r="B36" s="24">
        <f>COUNTIFS(Trades!$I$2:$I$74,$A$36,Trades!$C$2:$C$74,IF($D$4="(All)","*",$D$4),Trades!$AE$2:$AE$74,IF($G$4="(All)","*",$G$4))</f>
        <v/>
      </c>
      <c r="C36" s="24">
        <f>COUNTIFS(Trades!$AE$2:$AE$74,"Win",Trades!$I$2:$I$74,$A$36,Trades!$C$2:$C$74,IF($D$4="(All)","*",$D$4),Trades!$AE$2:$AE$74,IF($G$4="(All)","*",$G$4))</f>
        <v/>
      </c>
      <c r="D36" s="34">
        <f>IFERROR(C36/B36*100,"")</f>
        <v/>
      </c>
      <c r="E36" s="33">
        <f>SUMIFS(Trades!$AD$2:$AD$74,Trades!$I$2:$I$74,$A$36,Trades!$C$2:$C$74,IF($D$4="(All)","*",$D$4),Trades!$AE$2:$AE$74,IF($G$4="(All)","*",$G$4))</f>
        <v/>
      </c>
      <c r="F36" s="33">
        <f>IFERROR(E36/B36,"")</f>
        <v/>
      </c>
      <c r="G36" s="32">
        <f>IFERROR(AVERAGEIFS(Trades!$Z$2:$Z$74,Trades!$I$2:$I$74,$A$36,Trades!$C$2:$C$74,IF($D$4="(All)","*",$D$4),Trades!$AE$2:$AE$74,IF($G$4="(All)","*",$G$4)),"")</f>
        <v/>
      </c>
      <c r="H36" s="28">
        <f>IFERROR(SUMIFS(Trades!$AD$2:$AD$74,Trades!$I$2:$I$74,$A$36,Trades!$AD$2:$AD$74,"&gt;0",Trades!$C$2:$C$74,IF($D$4="(All)","*",$D$4),Trades!$AE$2:$AE$74,IF($G$4="(All)","*",$G$4))/-SUMIFS(Trades!$AD$2:$AD$74,Trades!$I$2:$I$74,$A$36,Trades!$AD$2:$AD$74,"&lt;0",Trades!$C$2:$C$74,IF($D$4="(All)","*",$D$4),Trades!$AE$2:$AE$74,IF($G$4="(All)","*",$G$4)),"")</f>
        <v/>
      </c>
      <c r="I36" s="31">
        <f>IFERROR(AVERAGEIFS(Trades!$AH$2:$AH$74,Trades!$I$2:$I$74,$A$36,Trades!$C$2:$C$74,IF($D$4="(All)","*",$D$4),Trades!$AE$2:$AE$74,IF($G$4="(All)","*",$G$4)),"")</f>
        <v/>
      </c>
      <c r="J36" s="31">
        <f>IFERROR(AVERAGEIFS(Trades!$AI$2:$AI$74,Trades!$I$2:$I$74,$A$36,Trades!$C$2:$C$74,IF($D$4="(All)","*",$D$4),Trades!$AE$2:$AE$74,IF($G$4="(All)","*",$G$4)),"")</f>
        <v/>
      </c>
      <c r="K36" s="30">
        <f>IFERROR(AVERAGEIFS(Trades!$O$2:$O$74,Trades!$I$2:$I$74,$A$36,Trades!$C$2:$C$74,IF($D$4="(All)","*",$D$4),Trades!$AE$2:$AE$74,IF($G$4="(All)","*",$G$4)),"")</f>
        <v/>
      </c>
      <c r="L36" s="34">
        <f>IFERROR(E36/SUMIFS(Trades!$AD$2:$AD$74,Trades!$C$2:$C$74,IF($D$4="(All)","*",$D$4),Trades!$AE$2:$AE$74,IF($G$4="(All)","*",$G$4))*100,"")</f>
        <v/>
      </c>
    </row>
    <row r="37" ht="16" customHeight="1">
      <c r="A37" s="23" t="n">
        <v>18</v>
      </c>
      <c r="B37" s="24">
        <f>COUNTIFS(Trades!$I$2:$I$74,$A$37,Trades!$C$2:$C$74,IF($D$4="(All)","*",$D$4),Trades!$AE$2:$AE$74,IF($G$4="(All)","*",$G$4))</f>
        <v/>
      </c>
      <c r="C37" s="24">
        <f>COUNTIFS(Trades!$AE$2:$AE$74,"Win",Trades!$I$2:$I$74,$A$37,Trades!$C$2:$C$74,IF($D$4="(All)","*",$D$4),Trades!$AE$2:$AE$74,IF($G$4="(All)","*",$G$4))</f>
        <v/>
      </c>
      <c r="D37" s="34">
        <f>IFERROR(C37/B37*100,"")</f>
        <v/>
      </c>
      <c r="E37" s="33">
        <f>SUMIFS(Trades!$AD$2:$AD$74,Trades!$I$2:$I$74,$A$37,Trades!$C$2:$C$74,IF($D$4="(All)","*",$D$4),Trades!$AE$2:$AE$74,IF($G$4="(All)","*",$G$4))</f>
        <v/>
      </c>
      <c r="F37" s="33">
        <f>IFERROR(E37/B37,"")</f>
        <v/>
      </c>
      <c r="G37" s="32">
        <f>IFERROR(AVERAGEIFS(Trades!$Z$2:$Z$74,Trades!$I$2:$I$74,$A$37,Trades!$C$2:$C$74,IF($D$4="(All)","*",$D$4),Trades!$AE$2:$AE$74,IF($G$4="(All)","*",$G$4)),"")</f>
        <v/>
      </c>
      <c r="H37" s="28">
        <f>IFERROR(SUMIFS(Trades!$AD$2:$AD$74,Trades!$I$2:$I$74,$A$37,Trades!$AD$2:$AD$74,"&gt;0",Trades!$C$2:$C$74,IF($D$4="(All)","*",$D$4),Trades!$AE$2:$AE$74,IF($G$4="(All)","*",$G$4))/-SUMIFS(Trades!$AD$2:$AD$74,Trades!$I$2:$I$74,$A$37,Trades!$AD$2:$AD$74,"&lt;0",Trades!$C$2:$C$74,IF($D$4="(All)","*",$D$4),Trades!$AE$2:$AE$74,IF($G$4="(All)","*",$G$4)),"")</f>
        <v/>
      </c>
      <c r="I37" s="31">
        <f>IFERROR(AVERAGEIFS(Trades!$AH$2:$AH$74,Trades!$I$2:$I$74,$A$37,Trades!$C$2:$C$74,IF($D$4="(All)","*",$D$4),Trades!$AE$2:$AE$74,IF($G$4="(All)","*",$G$4)),"")</f>
        <v/>
      </c>
      <c r="J37" s="31">
        <f>IFERROR(AVERAGEIFS(Trades!$AI$2:$AI$74,Trades!$I$2:$I$74,$A$37,Trades!$C$2:$C$74,IF($D$4="(All)","*",$D$4),Trades!$AE$2:$AE$74,IF($G$4="(All)","*",$G$4)),"")</f>
        <v/>
      </c>
      <c r="K37" s="30">
        <f>IFERROR(AVERAGEIFS(Trades!$O$2:$O$74,Trades!$I$2:$I$74,$A$37,Trades!$C$2:$C$74,IF($D$4="(All)","*",$D$4),Trades!$AE$2:$AE$74,IF($G$4="(All)","*",$G$4)),"")</f>
        <v/>
      </c>
      <c r="L37" s="34">
        <f>IFERROR(E37/SUMIFS(Trades!$AD$2:$AD$74,Trades!$C$2:$C$74,IF($D$4="(All)","*",$D$4),Trades!$AE$2:$AE$74,IF($G$4="(All)","*",$G$4))*100,"")</f>
        <v/>
      </c>
    </row>
    <row r="38" ht="16" customHeight="1">
      <c r="A38" s="23" t="n">
        <v>19</v>
      </c>
      <c r="B38" s="24">
        <f>COUNTIFS(Trades!$I$2:$I$74,$A$38,Trades!$C$2:$C$74,IF($D$4="(All)","*",$D$4),Trades!$AE$2:$AE$74,IF($G$4="(All)","*",$G$4))</f>
        <v/>
      </c>
      <c r="C38" s="24">
        <f>COUNTIFS(Trades!$AE$2:$AE$74,"Win",Trades!$I$2:$I$74,$A$38,Trades!$C$2:$C$74,IF($D$4="(All)","*",$D$4),Trades!$AE$2:$AE$74,IF($G$4="(All)","*",$G$4))</f>
        <v/>
      </c>
      <c r="D38" s="34">
        <f>IFERROR(C38/B38*100,"")</f>
        <v/>
      </c>
      <c r="E38" s="33">
        <f>SUMIFS(Trades!$AD$2:$AD$74,Trades!$I$2:$I$74,$A$38,Trades!$C$2:$C$74,IF($D$4="(All)","*",$D$4),Trades!$AE$2:$AE$74,IF($G$4="(All)","*",$G$4))</f>
        <v/>
      </c>
      <c r="F38" s="33">
        <f>IFERROR(E38/B38,"")</f>
        <v/>
      </c>
      <c r="G38" s="32">
        <f>IFERROR(AVERAGEIFS(Trades!$Z$2:$Z$74,Trades!$I$2:$I$74,$A$38,Trades!$C$2:$C$74,IF($D$4="(All)","*",$D$4),Trades!$AE$2:$AE$74,IF($G$4="(All)","*",$G$4)),"")</f>
        <v/>
      </c>
      <c r="H38" s="28">
        <f>IFERROR(SUMIFS(Trades!$AD$2:$AD$74,Trades!$I$2:$I$74,$A$38,Trades!$AD$2:$AD$74,"&gt;0",Trades!$C$2:$C$74,IF($D$4="(All)","*",$D$4),Trades!$AE$2:$AE$74,IF($G$4="(All)","*",$G$4))/-SUMIFS(Trades!$AD$2:$AD$74,Trades!$I$2:$I$74,$A$38,Trades!$AD$2:$AD$74,"&lt;0",Trades!$C$2:$C$74,IF($D$4="(All)","*",$D$4),Trades!$AE$2:$AE$74,IF($G$4="(All)","*",$G$4)),"")</f>
        <v/>
      </c>
      <c r="I38" s="31">
        <f>IFERROR(AVERAGEIFS(Trades!$AH$2:$AH$74,Trades!$I$2:$I$74,$A$38,Trades!$C$2:$C$74,IF($D$4="(All)","*",$D$4),Trades!$AE$2:$AE$74,IF($G$4="(All)","*",$G$4)),"")</f>
        <v/>
      </c>
      <c r="J38" s="31">
        <f>IFERROR(AVERAGEIFS(Trades!$AI$2:$AI$74,Trades!$I$2:$I$74,$A$38,Trades!$C$2:$C$74,IF($D$4="(All)","*",$D$4),Trades!$AE$2:$AE$74,IF($G$4="(All)","*",$G$4)),"")</f>
        <v/>
      </c>
      <c r="K38" s="30">
        <f>IFERROR(AVERAGEIFS(Trades!$O$2:$O$74,Trades!$I$2:$I$74,$A$38,Trades!$C$2:$C$74,IF($D$4="(All)","*",$D$4),Trades!$AE$2:$AE$74,IF($G$4="(All)","*",$G$4)),"")</f>
        <v/>
      </c>
      <c r="L38" s="34">
        <f>IFERROR(E38/SUMIFS(Trades!$AD$2:$AD$74,Trades!$C$2:$C$74,IF($D$4="(All)","*",$D$4),Trades!$AE$2:$AE$74,IF($G$4="(All)","*",$G$4))*100,"")</f>
        <v/>
      </c>
    </row>
    <row r="39" ht="16" customHeight="1">
      <c r="A39" s="23" t="n">
        <v>20</v>
      </c>
      <c r="B39" s="24">
        <f>COUNTIFS(Trades!$I$2:$I$74,$A$39,Trades!$C$2:$C$74,IF($D$4="(All)","*",$D$4),Trades!$AE$2:$AE$74,IF($G$4="(All)","*",$G$4))</f>
        <v/>
      </c>
      <c r="C39" s="24">
        <f>COUNTIFS(Trades!$AE$2:$AE$74,"Win",Trades!$I$2:$I$74,$A$39,Trades!$C$2:$C$74,IF($D$4="(All)","*",$D$4),Trades!$AE$2:$AE$74,IF($G$4="(All)","*",$G$4))</f>
        <v/>
      </c>
      <c r="D39" s="34">
        <f>IFERROR(C39/B39*100,"")</f>
        <v/>
      </c>
      <c r="E39" s="33">
        <f>SUMIFS(Trades!$AD$2:$AD$74,Trades!$I$2:$I$74,$A$39,Trades!$C$2:$C$74,IF($D$4="(All)","*",$D$4),Trades!$AE$2:$AE$74,IF($G$4="(All)","*",$G$4))</f>
        <v/>
      </c>
      <c r="F39" s="33">
        <f>IFERROR(E39/B39,"")</f>
        <v/>
      </c>
      <c r="G39" s="32">
        <f>IFERROR(AVERAGEIFS(Trades!$Z$2:$Z$74,Trades!$I$2:$I$74,$A$39,Trades!$C$2:$C$74,IF($D$4="(All)","*",$D$4),Trades!$AE$2:$AE$74,IF($G$4="(All)","*",$G$4)),"")</f>
        <v/>
      </c>
      <c r="H39" s="28">
        <f>IFERROR(SUMIFS(Trades!$AD$2:$AD$74,Trades!$I$2:$I$74,$A$39,Trades!$AD$2:$AD$74,"&gt;0",Trades!$C$2:$C$74,IF($D$4="(All)","*",$D$4),Trades!$AE$2:$AE$74,IF($G$4="(All)","*",$G$4))/-SUMIFS(Trades!$AD$2:$AD$74,Trades!$I$2:$I$74,$A$39,Trades!$AD$2:$AD$74,"&lt;0",Trades!$C$2:$C$74,IF($D$4="(All)","*",$D$4),Trades!$AE$2:$AE$74,IF($G$4="(All)","*",$G$4)),"")</f>
        <v/>
      </c>
      <c r="I39" s="31">
        <f>IFERROR(AVERAGEIFS(Trades!$AH$2:$AH$74,Trades!$I$2:$I$74,$A$39,Trades!$C$2:$C$74,IF($D$4="(All)","*",$D$4),Trades!$AE$2:$AE$74,IF($G$4="(All)","*",$G$4)),"")</f>
        <v/>
      </c>
      <c r="J39" s="31">
        <f>IFERROR(AVERAGEIFS(Trades!$AI$2:$AI$74,Trades!$I$2:$I$74,$A$39,Trades!$C$2:$C$74,IF($D$4="(All)","*",$D$4),Trades!$AE$2:$AE$74,IF($G$4="(All)","*",$G$4)),"")</f>
        <v/>
      </c>
      <c r="K39" s="30">
        <f>IFERROR(AVERAGEIFS(Trades!$O$2:$O$74,Trades!$I$2:$I$74,$A$39,Trades!$C$2:$C$74,IF($D$4="(All)","*",$D$4),Trades!$AE$2:$AE$74,IF($G$4="(All)","*",$G$4)),"")</f>
        <v/>
      </c>
      <c r="L39" s="34">
        <f>IFERROR(E39/SUMIFS(Trades!$AD$2:$AD$74,Trades!$C$2:$C$74,IF($D$4="(All)","*",$D$4),Trades!$AE$2:$AE$74,IF($G$4="(All)","*",$G$4))*100,"")</f>
        <v/>
      </c>
    </row>
    <row r="40" ht="16" customHeight="1">
      <c r="A40" s="23" t="n">
        <v>23</v>
      </c>
      <c r="B40" s="24">
        <f>COUNTIFS(Trades!$I$2:$I$74,$A$40,Trades!$C$2:$C$74,IF($D$4="(All)","*",$D$4),Trades!$AE$2:$AE$74,IF($G$4="(All)","*",$G$4))</f>
        <v/>
      </c>
      <c r="C40" s="24">
        <f>COUNTIFS(Trades!$AE$2:$AE$74,"Win",Trades!$I$2:$I$74,$A$40,Trades!$C$2:$C$74,IF($D$4="(All)","*",$D$4),Trades!$AE$2:$AE$74,IF($G$4="(All)","*",$G$4))</f>
        <v/>
      </c>
      <c r="D40" s="34">
        <f>IFERROR(C40/B40*100,"")</f>
        <v/>
      </c>
      <c r="E40" s="33">
        <f>SUMIFS(Trades!$AD$2:$AD$74,Trades!$I$2:$I$74,$A$40,Trades!$C$2:$C$74,IF($D$4="(All)","*",$D$4),Trades!$AE$2:$AE$74,IF($G$4="(All)","*",$G$4))</f>
        <v/>
      </c>
      <c r="F40" s="33">
        <f>IFERROR(E40/B40,"")</f>
        <v/>
      </c>
      <c r="G40" s="32">
        <f>IFERROR(AVERAGEIFS(Trades!$Z$2:$Z$74,Trades!$I$2:$I$74,$A$40,Trades!$C$2:$C$74,IF($D$4="(All)","*",$D$4),Trades!$AE$2:$AE$74,IF($G$4="(All)","*",$G$4)),"")</f>
        <v/>
      </c>
      <c r="H40" s="28">
        <f>IFERROR(SUMIFS(Trades!$AD$2:$AD$74,Trades!$I$2:$I$74,$A$40,Trades!$AD$2:$AD$74,"&gt;0",Trades!$C$2:$C$74,IF($D$4="(All)","*",$D$4),Trades!$AE$2:$AE$74,IF($G$4="(All)","*",$G$4))/-SUMIFS(Trades!$AD$2:$AD$74,Trades!$I$2:$I$74,$A$40,Trades!$AD$2:$AD$74,"&lt;0",Trades!$C$2:$C$74,IF($D$4="(All)","*",$D$4),Trades!$AE$2:$AE$74,IF($G$4="(All)","*",$G$4)),"")</f>
        <v/>
      </c>
      <c r="I40" s="31">
        <f>IFERROR(AVERAGEIFS(Trades!$AH$2:$AH$74,Trades!$I$2:$I$74,$A$40,Trades!$C$2:$C$74,IF($D$4="(All)","*",$D$4),Trades!$AE$2:$AE$74,IF($G$4="(All)","*",$G$4)),"")</f>
        <v/>
      </c>
      <c r="J40" s="31">
        <f>IFERROR(AVERAGEIFS(Trades!$AI$2:$AI$74,Trades!$I$2:$I$74,$A$40,Trades!$C$2:$C$74,IF($D$4="(All)","*",$D$4),Trades!$AE$2:$AE$74,IF($G$4="(All)","*",$G$4)),"")</f>
        <v/>
      </c>
      <c r="K40" s="30">
        <f>IFERROR(AVERAGEIFS(Trades!$O$2:$O$74,Trades!$I$2:$I$74,$A$40,Trades!$C$2:$C$74,IF($D$4="(All)","*",$D$4),Trades!$AE$2:$AE$74,IF($G$4="(All)","*",$G$4)),"")</f>
        <v/>
      </c>
      <c r="L40" s="34">
        <f>IFERROR(E40/SUMIFS(Trades!$AD$2:$AD$74,Trades!$C$2:$C$74,IF($D$4="(All)","*",$D$4),Trades!$AE$2:$AE$74,IF($G$4="(All)","*",$G$4))*100,"")</f>
        <v/>
      </c>
    </row>
    <row r="41">
      <c r="A41" s="40" t="inlineStr">
        <is>
          <t>All trades</t>
        </is>
      </c>
      <c r="B41" s="41">
        <f>COUNTIFS(Trades!$C$2:$C$74,IF($D$4="(All)","*",$D$4),Trades!$AE$2:$AE$74,IF($G$4="(All)","*",$G$4))</f>
        <v/>
      </c>
      <c r="C41" s="41">
        <f>COUNTIFS(Trades!$AE$2:$AE$74,"Win",Trades!$C$2:$C$74,IF($D$4="(All)","*",$D$4),Trades!$AE$2:$AE$74,IF($G$4="(All)","*",$G$4))</f>
        <v/>
      </c>
      <c r="D41" s="42">
        <f>IFERROR(C41/B41*100,"")</f>
        <v/>
      </c>
      <c r="E41" s="43">
        <f>SUMIFS(Trades!$AD$2:$AD$74,Trades!$C$2:$C$74,IF($D$4="(All)","*",$D$4),Trades!$AE$2:$AE$74,IF($G$4="(All)","*",$G$4))</f>
        <v/>
      </c>
      <c r="F41" s="43">
        <f>IFERROR(E41/B41,"")</f>
        <v/>
      </c>
      <c r="G41" s="44">
        <f>IFERROR(AVERAGEIFS(Trades!$Z$2:$Z$74,Trades!$C$2:$C$74,IF($D$4="(All)","*",$D$4),Trades!$AE$2:$AE$74,IF($G$4="(All)","*",$G$4)),"")</f>
        <v/>
      </c>
      <c r="H41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41" s="46">
        <f>IFERROR(AVERAGEIFS(Trades!$AH$2:$AH$74,Trades!$C$2:$C$74,IF($D$4="(All)","*",$D$4),Trades!$AE$2:$AE$74,IF($G$4="(All)","*",$G$4)),"")</f>
        <v/>
      </c>
      <c r="J41" s="46">
        <f>IFERROR(AVERAGEIFS(Trades!$AI$2:$AI$74,Trades!$C$2:$C$74,IF($D$4="(All)","*",$D$4),Trades!$AE$2:$AE$74,IF($G$4="(All)","*",$G$4)),"")</f>
        <v/>
      </c>
      <c r="K41" s="47">
        <f>IFERROR(AVERAGEIFS(Trades!$O$2:$O$74,Trades!$C$2:$C$74,IF($D$4="(All)","*",$D$4),Trades!$AE$2:$AE$74,IF($G$4="(All)","*",$G$4)),"")</f>
        <v/>
      </c>
      <c r="L41" s="42">
        <f>IFERROR(E41/SUMIFS(Trades!$AD$2:$AD$74,Trades!$C$2:$C$74,IF($D$4="(All)","*",$D$4),Trades!$AE$2:$AE$74,IF($G$4="(All)","*",$G$4))*100,"")</f>
        <v/>
      </c>
    </row>
    <row r="44">
      <c r="A44" s="4" t="inlineStr">
        <is>
          <t>By month</t>
        </is>
      </c>
    </row>
    <row r="45" ht="28" customHeight="1">
      <c r="A45" s="22" t="inlineStr">
        <is>
          <t>Month</t>
        </is>
      </c>
      <c r="B45" s="22" t="inlineStr">
        <is>
          <t>Trades</t>
        </is>
      </c>
      <c r="C45" s="22" t="inlineStr">
        <is>
          <t>Wins</t>
        </is>
      </c>
      <c r="D45" s="22" t="inlineStr">
        <is>
          <t>Win %</t>
        </is>
      </c>
      <c r="E45" s="22" t="inlineStr">
        <is>
          <t>Net</t>
        </is>
      </c>
      <c r="F45" s="22" t="inlineStr">
        <is>
          <t>Expectancy</t>
        </is>
      </c>
      <c r="G45" s="22" t="inlineStr">
        <is>
          <t>Avg R</t>
        </is>
      </c>
      <c r="H45" s="22" t="inlineStr">
        <is>
          <t>Profit factor</t>
        </is>
      </c>
      <c r="I45" s="22" t="inlineStr">
        <is>
          <t>Avg MFE</t>
        </is>
      </c>
      <c r="J45" s="22" t="inlineStr">
        <is>
          <t>Avg MAE</t>
        </is>
      </c>
      <c r="K45" s="22" t="inlineStr">
        <is>
          <t>Avg dur (min)</t>
        </is>
      </c>
      <c r="L45" s="22" t="inlineStr">
        <is>
          <t>Share of net</t>
        </is>
      </c>
    </row>
    <row r="46" ht="16" customHeight="1">
      <c r="A46" s="23" t="inlineStr">
        <is>
          <t>2026-07</t>
        </is>
      </c>
      <c r="B46" s="24">
        <f>COUNTIFS(Trades!$L$2:$L$74,$A$46,Trades!$C$2:$C$74,IF($D$4="(All)","*",$D$4),Trades!$AE$2:$AE$74,IF($G$4="(All)","*",$G$4))</f>
        <v/>
      </c>
      <c r="C46" s="24">
        <f>COUNTIFS(Trades!$AE$2:$AE$74,"Win",Trades!$L$2:$L$74,$A$46,Trades!$C$2:$C$74,IF($D$4="(All)","*",$D$4),Trades!$AE$2:$AE$74,IF($G$4="(All)","*",$G$4))</f>
        <v/>
      </c>
      <c r="D46" s="34">
        <f>IFERROR(C46/B46*100,"")</f>
        <v/>
      </c>
      <c r="E46" s="33">
        <f>SUMIFS(Trades!$AD$2:$AD$74,Trades!$L$2:$L$74,$A$46,Trades!$C$2:$C$74,IF($D$4="(All)","*",$D$4),Trades!$AE$2:$AE$74,IF($G$4="(All)","*",$G$4))</f>
        <v/>
      </c>
      <c r="F46" s="33">
        <f>IFERROR(E46/B46,"")</f>
        <v/>
      </c>
      <c r="G46" s="32">
        <f>IFERROR(AVERAGEIFS(Trades!$Z$2:$Z$74,Trades!$L$2:$L$74,$A$46,Trades!$C$2:$C$74,IF($D$4="(All)","*",$D$4),Trades!$AE$2:$AE$74,IF($G$4="(All)","*",$G$4)),"")</f>
        <v/>
      </c>
      <c r="H46" s="28">
        <f>IFERROR(SUMIFS(Trades!$AD$2:$AD$74,Trades!$L$2:$L$74,$A$46,Trades!$AD$2:$AD$74,"&gt;0",Trades!$C$2:$C$74,IF($D$4="(All)","*",$D$4),Trades!$AE$2:$AE$74,IF($G$4="(All)","*",$G$4))/-SUMIFS(Trades!$AD$2:$AD$74,Trades!$L$2:$L$74,$A$46,Trades!$AD$2:$AD$74,"&lt;0",Trades!$C$2:$C$74,IF($D$4="(All)","*",$D$4),Trades!$AE$2:$AE$74,IF($G$4="(All)","*",$G$4)),"")</f>
        <v/>
      </c>
      <c r="I46" s="31">
        <f>IFERROR(AVERAGEIFS(Trades!$AH$2:$AH$74,Trades!$L$2:$L$74,$A$46,Trades!$C$2:$C$74,IF($D$4="(All)","*",$D$4),Trades!$AE$2:$AE$74,IF($G$4="(All)","*",$G$4)),"")</f>
        <v/>
      </c>
      <c r="J46" s="31">
        <f>IFERROR(AVERAGEIFS(Trades!$AI$2:$AI$74,Trades!$L$2:$L$74,$A$46,Trades!$C$2:$C$74,IF($D$4="(All)","*",$D$4),Trades!$AE$2:$AE$74,IF($G$4="(All)","*",$G$4)),"")</f>
        <v/>
      </c>
      <c r="K46" s="30">
        <f>IFERROR(AVERAGEIFS(Trades!$O$2:$O$74,Trades!$L$2:$L$74,$A$46,Trades!$C$2:$C$74,IF($D$4="(All)","*",$D$4),Trades!$AE$2:$AE$74,IF($G$4="(All)","*",$G$4)),"")</f>
        <v/>
      </c>
      <c r="L46" s="34">
        <f>IFERROR(E46/SUMIFS(Trades!$AD$2:$AD$74,Trades!$C$2:$C$74,IF($D$4="(All)","*",$D$4),Trades!$AE$2:$AE$74,IF($G$4="(All)","*",$G$4))*100,"")</f>
        <v/>
      </c>
    </row>
    <row r="47" ht="16" customHeight="1">
      <c r="A47" s="23" t="inlineStr">
        <is>
          <t>2026-08</t>
        </is>
      </c>
      <c r="B47" s="24">
        <f>COUNTIFS(Trades!$L$2:$L$74,$A$47,Trades!$C$2:$C$74,IF($D$4="(All)","*",$D$4),Trades!$AE$2:$AE$74,IF($G$4="(All)","*",$G$4))</f>
        <v/>
      </c>
      <c r="C47" s="24">
        <f>COUNTIFS(Trades!$AE$2:$AE$74,"Win",Trades!$L$2:$L$74,$A$47,Trades!$C$2:$C$74,IF($D$4="(All)","*",$D$4),Trades!$AE$2:$AE$74,IF($G$4="(All)","*",$G$4))</f>
        <v/>
      </c>
      <c r="D47" s="34">
        <f>IFERROR(C47/B47*100,"")</f>
        <v/>
      </c>
      <c r="E47" s="33">
        <f>SUMIFS(Trades!$AD$2:$AD$74,Trades!$L$2:$L$74,$A$47,Trades!$C$2:$C$74,IF($D$4="(All)","*",$D$4),Trades!$AE$2:$AE$74,IF($G$4="(All)","*",$G$4))</f>
        <v/>
      </c>
      <c r="F47" s="33">
        <f>IFERROR(E47/B47,"")</f>
        <v/>
      </c>
      <c r="G47" s="32">
        <f>IFERROR(AVERAGEIFS(Trades!$Z$2:$Z$74,Trades!$L$2:$L$74,$A$47,Trades!$C$2:$C$74,IF($D$4="(All)","*",$D$4),Trades!$AE$2:$AE$74,IF($G$4="(All)","*",$G$4)),"")</f>
        <v/>
      </c>
      <c r="H47" s="28">
        <f>IFERROR(SUMIFS(Trades!$AD$2:$AD$74,Trades!$L$2:$L$74,$A$47,Trades!$AD$2:$AD$74,"&gt;0",Trades!$C$2:$C$74,IF($D$4="(All)","*",$D$4),Trades!$AE$2:$AE$74,IF($G$4="(All)","*",$G$4))/-SUMIFS(Trades!$AD$2:$AD$74,Trades!$L$2:$L$74,$A$47,Trades!$AD$2:$AD$74,"&lt;0",Trades!$C$2:$C$74,IF($D$4="(All)","*",$D$4),Trades!$AE$2:$AE$74,IF($G$4="(All)","*",$G$4)),"")</f>
        <v/>
      </c>
      <c r="I47" s="31">
        <f>IFERROR(AVERAGEIFS(Trades!$AH$2:$AH$74,Trades!$L$2:$L$74,$A$47,Trades!$C$2:$C$74,IF($D$4="(All)","*",$D$4),Trades!$AE$2:$AE$74,IF($G$4="(All)","*",$G$4)),"")</f>
        <v/>
      </c>
      <c r="J47" s="31">
        <f>IFERROR(AVERAGEIFS(Trades!$AI$2:$AI$74,Trades!$L$2:$L$74,$A$47,Trades!$C$2:$C$74,IF($D$4="(All)","*",$D$4),Trades!$AE$2:$AE$74,IF($G$4="(All)","*",$G$4)),"")</f>
        <v/>
      </c>
      <c r="K47" s="30">
        <f>IFERROR(AVERAGEIFS(Trades!$O$2:$O$74,Trades!$L$2:$L$74,$A$47,Trades!$C$2:$C$74,IF($D$4="(All)","*",$D$4),Trades!$AE$2:$AE$74,IF($G$4="(All)","*",$G$4)),"")</f>
        <v/>
      </c>
      <c r="L47" s="34">
        <f>IFERROR(E47/SUMIFS(Trades!$AD$2:$AD$74,Trades!$C$2:$C$74,IF($D$4="(All)","*",$D$4),Trades!$AE$2:$AE$74,IF($G$4="(All)","*",$G$4))*100,"")</f>
        <v/>
      </c>
    </row>
    <row r="48">
      <c r="A48" s="40" t="inlineStr">
        <is>
          <t>All trades</t>
        </is>
      </c>
      <c r="B48" s="41">
        <f>COUNTIFS(Trades!$C$2:$C$74,IF($D$4="(All)","*",$D$4),Trades!$AE$2:$AE$74,IF($G$4="(All)","*",$G$4))</f>
        <v/>
      </c>
      <c r="C48" s="41">
        <f>COUNTIFS(Trades!$AE$2:$AE$74,"Win",Trades!$C$2:$C$74,IF($D$4="(All)","*",$D$4),Trades!$AE$2:$AE$74,IF($G$4="(All)","*",$G$4))</f>
        <v/>
      </c>
      <c r="D48" s="42">
        <f>IFERROR(C48/B48*100,"")</f>
        <v/>
      </c>
      <c r="E48" s="43">
        <f>SUMIFS(Trades!$AD$2:$AD$74,Trades!$C$2:$C$74,IF($D$4="(All)","*",$D$4),Trades!$AE$2:$AE$74,IF($G$4="(All)","*",$G$4))</f>
        <v/>
      </c>
      <c r="F48" s="43">
        <f>IFERROR(E48/B48,"")</f>
        <v/>
      </c>
      <c r="G48" s="44">
        <f>IFERROR(AVERAGEIFS(Trades!$Z$2:$Z$74,Trades!$C$2:$C$74,IF($D$4="(All)","*",$D$4),Trades!$AE$2:$AE$74,IF($G$4="(All)","*",$G$4)),"")</f>
        <v/>
      </c>
      <c r="H48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48" s="46">
        <f>IFERROR(AVERAGEIFS(Trades!$AH$2:$AH$74,Trades!$C$2:$C$74,IF($D$4="(All)","*",$D$4),Trades!$AE$2:$AE$74,IF($G$4="(All)","*",$G$4)),"")</f>
        <v/>
      </c>
      <c r="J48" s="46">
        <f>IFERROR(AVERAGEIFS(Trades!$AI$2:$AI$74,Trades!$C$2:$C$74,IF($D$4="(All)","*",$D$4),Trades!$AE$2:$AE$74,IF($G$4="(All)","*",$G$4)),"")</f>
        <v/>
      </c>
      <c r="K48" s="47">
        <f>IFERROR(AVERAGEIFS(Trades!$O$2:$O$74,Trades!$C$2:$C$74,IF($D$4="(All)","*",$D$4),Trades!$AE$2:$AE$74,IF($G$4="(All)","*",$G$4)),"")</f>
        <v/>
      </c>
      <c r="L48" s="42">
        <f>IFERROR(E48/SUMIFS(Trades!$AD$2:$AD$74,Trades!$C$2:$C$74,IF($D$4="(All)","*",$D$4),Trades!$AE$2:$AE$74,IF($G$4="(All)","*",$G$4))*100,"")</f>
        <v/>
      </c>
    </row>
  </sheetData>
  <mergeCells count="2">
    <mergeCell ref="A2:L2"/>
    <mergeCell ref="A1:L1"/>
  </mergeCells>
  <conditionalFormatting sqref="E8:E11">
    <cfRule type="cellIs" priority="1" operator="greaterThan" dxfId="5">
      <formula>0</formula>
    </cfRule>
    <cfRule type="cellIs" priority="2" operator="lessThan" dxfId="6">
      <formula>0</formula>
    </cfRule>
  </conditionalFormatting>
  <conditionalFormatting sqref="B8:B11">
    <cfRule type="dataBar" priority="3">
      <dataBar showValue="1">
        <cfvo type="num" val="0"/>
        <cfvo type="max"/>
        <color rgb="00DBEAFE"/>
      </dataBar>
    </cfRule>
  </conditionalFormatting>
  <conditionalFormatting sqref="E17:E21">
    <cfRule type="cellIs" priority="4" operator="greaterThan" dxfId="5">
      <formula>0</formula>
    </cfRule>
    <cfRule type="cellIs" priority="5" operator="lessThan" dxfId="6">
      <formula>0</formula>
    </cfRule>
  </conditionalFormatting>
  <conditionalFormatting sqref="B17:B21">
    <cfRule type="dataBar" priority="6">
      <dataBar showValue="1">
        <cfvo type="num" val="0"/>
        <cfvo type="max"/>
        <color rgb="00DBEAFE"/>
      </dataBar>
    </cfRule>
  </conditionalFormatting>
  <conditionalFormatting sqref="E27:E40">
    <cfRule type="cellIs" priority="7" operator="greaterThan" dxfId="5">
      <formula>0</formula>
    </cfRule>
    <cfRule type="cellIs" priority="8" operator="lessThan" dxfId="6">
      <formula>0</formula>
    </cfRule>
  </conditionalFormatting>
  <conditionalFormatting sqref="B27:B40">
    <cfRule type="dataBar" priority="9">
      <dataBar showValue="1">
        <cfvo type="num" val="0"/>
        <cfvo type="max"/>
        <color rgb="00DBEAFE"/>
      </dataBar>
    </cfRule>
  </conditionalFormatting>
  <conditionalFormatting sqref="E46:E47">
    <cfRule type="cellIs" priority="10" operator="greaterThan" dxfId="5">
      <formula>0</formula>
    </cfRule>
    <cfRule type="cellIs" priority="11" operator="lessThan" dxfId="6">
      <formula>0</formula>
    </cfRule>
  </conditionalFormatting>
  <conditionalFormatting sqref="B46:B47">
    <cfRule type="dataBar" priority="12">
      <dataBar showValue="1">
        <cfvo type="num" val="0"/>
        <cfvo type="max"/>
        <color rgb="00DBEAFE"/>
      </dataBar>
    </cfRule>
  </conditionalFormatting>
  <dataValidations count="2">
    <dataValidation sqref="D4" showDropDown="0" showInputMessage="0" showErrorMessage="0" allowBlank="0" type="list">
      <formula1>"(All),DAXEUR,DJIUSD,NDXUSD,NIKJPY,XAUUSD"</formula1>
    </dataValidation>
    <dataValidation sqref="G4" showDropDown="0" showInputMessage="0" showErrorMessage="0" allowBlank="0" type="list">
      <formula1>"(All),Win,Loss,Breakeven"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8" customWidth="1" min="3" max="3"/>
    <col width="9" customWidth="1" min="4" max="4"/>
    <col width="12" customWidth="1" min="5" max="5"/>
    <col width="11" customWidth="1" min="6" max="6"/>
    <col width="9" customWidth="1" min="7" max="7"/>
    <col width="12" customWidth="1" min="8" max="8"/>
    <col width="10" customWidth="1" min="9" max="9"/>
    <col width="10" customWidth="1" min="10" max="10"/>
    <col width="13" customWidth="1" min="11" max="11"/>
    <col width="12" customWidth="1" min="12" max="12"/>
  </cols>
  <sheetData>
    <row r="1" ht="34" customHeight="1">
      <c r="A1" s="1" t="inlineStr">
        <is>
          <t>Distribution of outcomes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Where the results sit, not just their average.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4" t="inlineStr">
        <is>
          <t>Filters</t>
        </is>
      </c>
      <c r="C4" s="37" t="inlineStr">
        <is>
          <t>Symbol</t>
        </is>
      </c>
      <c r="D4" s="38" t="inlineStr">
        <is>
          <t>(All)</t>
        </is>
      </c>
      <c r="F4" s="37" t="inlineStr">
        <is>
          <t>Outcome</t>
        </is>
      </c>
      <c r="G4" s="38" t="inlineStr">
        <is>
          <t>(All)</t>
        </is>
      </c>
      <c r="I4" s="39" t="inlineStr">
        <is>
          <t>Change either dropdown - every grid below recalculates.</t>
        </is>
      </c>
    </row>
    <row r="6">
      <c r="A6" s="4" t="inlineStr">
        <is>
          <t>By r band</t>
        </is>
      </c>
      <c r="E6" s="39" t="inlineStr">
        <is>
          <t>The distribution behind the expectancy figure.</t>
        </is>
      </c>
    </row>
    <row r="7" ht="28" customHeight="1">
      <c r="A7" s="22" t="inlineStr">
        <is>
          <t>R band</t>
        </is>
      </c>
      <c r="B7" s="22" t="inlineStr">
        <is>
          <t>Trades</t>
        </is>
      </c>
      <c r="C7" s="22" t="inlineStr">
        <is>
          <t>Wins</t>
        </is>
      </c>
      <c r="D7" s="22" t="inlineStr">
        <is>
          <t>Win %</t>
        </is>
      </c>
      <c r="E7" s="22" t="inlineStr">
        <is>
          <t>Net</t>
        </is>
      </c>
      <c r="F7" s="22" t="inlineStr">
        <is>
          <t>Expectancy</t>
        </is>
      </c>
      <c r="G7" s="22" t="inlineStr">
        <is>
          <t>Avg R</t>
        </is>
      </c>
      <c r="H7" s="22" t="inlineStr">
        <is>
          <t>Profit factor</t>
        </is>
      </c>
      <c r="I7" s="22" t="inlineStr">
        <is>
          <t>Avg MFE</t>
        </is>
      </c>
      <c r="J7" s="22" t="inlineStr">
        <is>
          <t>Avg MAE</t>
        </is>
      </c>
      <c r="K7" s="22" t="inlineStr">
        <is>
          <t>Avg dur (min)</t>
        </is>
      </c>
      <c r="L7" s="22" t="inlineStr">
        <is>
          <t>Share of net</t>
        </is>
      </c>
    </row>
    <row r="8" ht="16" customHeight="1">
      <c r="A8" s="23" t="inlineStr">
        <is>
          <t>A. &lt;= -1.5R</t>
        </is>
      </c>
      <c r="B8" s="24">
        <f>COUNTIFS(Trades!$AA$2:$AA$74,$A$8,Trades!$C$2:$C$74,IF($D$4="(All)","*",$D$4),Trades!$AE$2:$AE$74,IF($G$4="(All)","*",$G$4))</f>
        <v/>
      </c>
      <c r="C8" s="24">
        <f>COUNTIFS(Trades!$AE$2:$AE$74,"Win",Trades!$AA$2:$AA$74,$A$8,Trades!$C$2:$C$74,IF($D$4="(All)","*",$D$4),Trades!$AE$2:$AE$74,IF($G$4="(All)","*",$G$4))</f>
        <v/>
      </c>
      <c r="D8" s="34">
        <f>IFERROR(C8/B8*100,"")</f>
        <v/>
      </c>
      <c r="E8" s="33">
        <f>SUMIFS(Trades!$AD$2:$AD$74,Trades!$AA$2:$AA$74,$A$8,Trades!$C$2:$C$74,IF($D$4="(All)","*",$D$4),Trades!$AE$2:$AE$74,IF($G$4="(All)","*",$G$4))</f>
        <v/>
      </c>
      <c r="F8" s="33">
        <f>IFERROR(E8/B8,"")</f>
        <v/>
      </c>
      <c r="G8" s="32">
        <f>IFERROR(AVERAGEIFS(Trades!$Z$2:$Z$74,Trades!$AA$2:$AA$74,$A$8,Trades!$C$2:$C$74,IF($D$4="(All)","*",$D$4),Trades!$AE$2:$AE$74,IF($G$4="(All)","*",$G$4)),"")</f>
        <v/>
      </c>
      <c r="H8" s="28">
        <f>IFERROR(SUMIFS(Trades!$AD$2:$AD$74,Trades!$AA$2:$AA$74,$A$8,Trades!$AD$2:$AD$74,"&gt;0",Trades!$C$2:$C$74,IF($D$4="(All)","*",$D$4),Trades!$AE$2:$AE$74,IF($G$4="(All)","*",$G$4))/-SUMIFS(Trades!$AD$2:$AD$74,Trades!$AA$2:$AA$74,$A$8,Trades!$AD$2:$AD$74,"&lt;0",Trades!$C$2:$C$74,IF($D$4="(All)","*",$D$4),Trades!$AE$2:$AE$74,IF($G$4="(All)","*",$G$4)),"")</f>
        <v/>
      </c>
      <c r="I8" s="31">
        <f>IFERROR(AVERAGEIFS(Trades!$AH$2:$AH$74,Trades!$AA$2:$AA$74,$A$8,Trades!$C$2:$C$74,IF($D$4="(All)","*",$D$4),Trades!$AE$2:$AE$74,IF($G$4="(All)","*",$G$4)),"")</f>
        <v/>
      </c>
      <c r="J8" s="31">
        <f>IFERROR(AVERAGEIFS(Trades!$AI$2:$AI$74,Trades!$AA$2:$AA$74,$A$8,Trades!$C$2:$C$74,IF($D$4="(All)","*",$D$4),Trades!$AE$2:$AE$74,IF($G$4="(All)","*",$G$4)),"")</f>
        <v/>
      </c>
      <c r="K8" s="30">
        <f>IFERROR(AVERAGEIFS(Trades!$O$2:$O$74,Trades!$AA$2:$AA$74,$A$8,Trades!$C$2:$C$74,IF($D$4="(All)","*",$D$4),Trades!$AE$2:$AE$74,IF($G$4="(All)","*",$G$4)),"")</f>
        <v/>
      </c>
      <c r="L8" s="34">
        <f>IFERROR(E8/SUMIFS(Trades!$AD$2:$AD$74,Trades!$C$2:$C$74,IF($D$4="(All)","*",$D$4),Trades!$AE$2:$AE$74,IF($G$4="(All)","*",$G$4))*100,"")</f>
        <v/>
      </c>
    </row>
    <row r="9" ht="16" customHeight="1">
      <c r="A9" s="23" t="inlineStr">
        <is>
          <t>B. -1.5R..-1R</t>
        </is>
      </c>
      <c r="B9" s="24">
        <f>COUNTIFS(Trades!$AA$2:$AA$74,$A$9,Trades!$C$2:$C$74,IF($D$4="(All)","*",$D$4),Trades!$AE$2:$AE$74,IF($G$4="(All)","*",$G$4))</f>
        <v/>
      </c>
      <c r="C9" s="24">
        <f>COUNTIFS(Trades!$AE$2:$AE$74,"Win",Trades!$AA$2:$AA$74,$A$9,Trades!$C$2:$C$74,IF($D$4="(All)","*",$D$4),Trades!$AE$2:$AE$74,IF($G$4="(All)","*",$G$4))</f>
        <v/>
      </c>
      <c r="D9" s="34">
        <f>IFERROR(C9/B9*100,"")</f>
        <v/>
      </c>
      <c r="E9" s="33">
        <f>SUMIFS(Trades!$AD$2:$AD$74,Trades!$AA$2:$AA$74,$A$9,Trades!$C$2:$C$74,IF($D$4="(All)","*",$D$4),Trades!$AE$2:$AE$74,IF($G$4="(All)","*",$G$4))</f>
        <v/>
      </c>
      <c r="F9" s="33">
        <f>IFERROR(E9/B9,"")</f>
        <v/>
      </c>
      <c r="G9" s="32">
        <f>IFERROR(AVERAGEIFS(Trades!$Z$2:$Z$74,Trades!$AA$2:$AA$74,$A$9,Trades!$C$2:$C$74,IF($D$4="(All)","*",$D$4),Trades!$AE$2:$AE$74,IF($G$4="(All)","*",$G$4)),"")</f>
        <v/>
      </c>
      <c r="H9" s="28">
        <f>IFERROR(SUMIFS(Trades!$AD$2:$AD$74,Trades!$AA$2:$AA$74,$A$9,Trades!$AD$2:$AD$74,"&gt;0",Trades!$C$2:$C$74,IF($D$4="(All)","*",$D$4),Trades!$AE$2:$AE$74,IF($G$4="(All)","*",$G$4))/-SUMIFS(Trades!$AD$2:$AD$74,Trades!$AA$2:$AA$74,$A$9,Trades!$AD$2:$AD$74,"&lt;0",Trades!$C$2:$C$74,IF($D$4="(All)","*",$D$4),Trades!$AE$2:$AE$74,IF($G$4="(All)","*",$G$4)),"")</f>
        <v/>
      </c>
      <c r="I9" s="31">
        <f>IFERROR(AVERAGEIFS(Trades!$AH$2:$AH$74,Trades!$AA$2:$AA$74,$A$9,Trades!$C$2:$C$74,IF($D$4="(All)","*",$D$4),Trades!$AE$2:$AE$74,IF($G$4="(All)","*",$G$4)),"")</f>
        <v/>
      </c>
      <c r="J9" s="31">
        <f>IFERROR(AVERAGEIFS(Trades!$AI$2:$AI$74,Trades!$AA$2:$AA$74,$A$9,Trades!$C$2:$C$74,IF($D$4="(All)","*",$D$4),Trades!$AE$2:$AE$74,IF($G$4="(All)","*",$G$4)),"")</f>
        <v/>
      </c>
      <c r="K9" s="30">
        <f>IFERROR(AVERAGEIFS(Trades!$O$2:$O$74,Trades!$AA$2:$AA$74,$A$9,Trades!$C$2:$C$74,IF($D$4="(All)","*",$D$4),Trades!$AE$2:$AE$74,IF($G$4="(All)","*",$G$4)),"")</f>
        <v/>
      </c>
      <c r="L9" s="34">
        <f>IFERROR(E9/SUMIFS(Trades!$AD$2:$AD$74,Trades!$C$2:$C$74,IF($D$4="(All)","*",$D$4),Trades!$AE$2:$AE$74,IF($G$4="(All)","*",$G$4))*100,"")</f>
        <v/>
      </c>
    </row>
    <row r="10" ht="16" customHeight="1">
      <c r="A10" s="23" t="inlineStr">
        <is>
          <t>C. -1R..-0.5R</t>
        </is>
      </c>
      <c r="B10" s="24">
        <f>COUNTIFS(Trades!$AA$2:$AA$74,$A$10,Trades!$C$2:$C$74,IF($D$4="(All)","*",$D$4),Trades!$AE$2:$AE$74,IF($G$4="(All)","*",$G$4))</f>
        <v/>
      </c>
      <c r="C10" s="24">
        <f>COUNTIFS(Trades!$AE$2:$AE$74,"Win",Trades!$AA$2:$AA$74,$A$10,Trades!$C$2:$C$74,IF($D$4="(All)","*",$D$4),Trades!$AE$2:$AE$74,IF($G$4="(All)","*",$G$4))</f>
        <v/>
      </c>
      <c r="D10" s="34">
        <f>IFERROR(C10/B10*100,"")</f>
        <v/>
      </c>
      <c r="E10" s="33">
        <f>SUMIFS(Trades!$AD$2:$AD$74,Trades!$AA$2:$AA$74,$A$10,Trades!$C$2:$C$74,IF($D$4="(All)","*",$D$4),Trades!$AE$2:$AE$74,IF($G$4="(All)","*",$G$4))</f>
        <v/>
      </c>
      <c r="F10" s="33">
        <f>IFERROR(E10/B10,"")</f>
        <v/>
      </c>
      <c r="G10" s="32">
        <f>IFERROR(AVERAGEIFS(Trades!$Z$2:$Z$74,Trades!$AA$2:$AA$74,$A$10,Trades!$C$2:$C$74,IF($D$4="(All)","*",$D$4),Trades!$AE$2:$AE$74,IF($G$4="(All)","*",$G$4)),"")</f>
        <v/>
      </c>
      <c r="H10" s="28">
        <f>IFERROR(SUMIFS(Trades!$AD$2:$AD$74,Trades!$AA$2:$AA$74,$A$10,Trades!$AD$2:$AD$74,"&gt;0",Trades!$C$2:$C$74,IF($D$4="(All)","*",$D$4),Trades!$AE$2:$AE$74,IF($G$4="(All)","*",$G$4))/-SUMIFS(Trades!$AD$2:$AD$74,Trades!$AA$2:$AA$74,$A$10,Trades!$AD$2:$AD$74,"&lt;0",Trades!$C$2:$C$74,IF($D$4="(All)","*",$D$4),Trades!$AE$2:$AE$74,IF($G$4="(All)","*",$G$4)),"")</f>
        <v/>
      </c>
      <c r="I10" s="31">
        <f>IFERROR(AVERAGEIFS(Trades!$AH$2:$AH$74,Trades!$AA$2:$AA$74,$A$10,Trades!$C$2:$C$74,IF($D$4="(All)","*",$D$4),Trades!$AE$2:$AE$74,IF($G$4="(All)","*",$G$4)),"")</f>
        <v/>
      </c>
      <c r="J10" s="31">
        <f>IFERROR(AVERAGEIFS(Trades!$AI$2:$AI$74,Trades!$AA$2:$AA$74,$A$10,Trades!$C$2:$C$74,IF($D$4="(All)","*",$D$4),Trades!$AE$2:$AE$74,IF($G$4="(All)","*",$G$4)),"")</f>
        <v/>
      </c>
      <c r="K10" s="30">
        <f>IFERROR(AVERAGEIFS(Trades!$O$2:$O$74,Trades!$AA$2:$AA$74,$A$10,Trades!$C$2:$C$74,IF($D$4="(All)","*",$D$4),Trades!$AE$2:$AE$74,IF($G$4="(All)","*",$G$4)),"")</f>
        <v/>
      </c>
      <c r="L10" s="34">
        <f>IFERROR(E10/SUMIFS(Trades!$AD$2:$AD$74,Trades!$C$2:$C$74,IF($D$4="(All)","*",$D$4),Trades!$AE$2:$AE$74,IF($G$4="(All)","*",$G$4))*100,"")</f>
        <v/>
      </c>
    </row>
    <row r="11" ht="16" customHeight="1">
      <c r="A11" s="23" t="inlineStr">
        <is>
          <t>D. -0.5R..0</t>
        </is>
      </c>
      <c r="B11" s="24">
        <f>COUNTIFS(Trades!$AA$2:$AA$74,$A$11,Trades!$C$2:$C$74,IF($D$4="(All)","*",$D$4),Trades!$AE$2:$AE$74,IF($G$4="(All)","*",$G$4))</f>
        <v/>
      </c>
      <c r="C11" s="24">
        <f>COUNTIFS(Trades!$AE$2:$AE$74,"Win",Trades!$AA$2:$AA$74,$A$11,Trades!$C$2:$C$74,IF($D$4="(All)","*",$D$4),Trades!$AE$2:$AE$74,IF($G$4="(All)","*",$G$4))</f>
        <v/>
      </c>
      <c r="D11" s="34">
        <f>IFERROR(C11/B11*100,"")</f>
        <v/>
      </c>
      <c r="E11" s="33">
        <f>SUMIFS(Trades!$AD$2:$AD$74,Trades!$AA$2:$AA$74,$A$11,Trades!$C$2:$C$74,IF($D$4="(All)","*",$D$4),Trades!$AE$2:$AE$74,IF($G$4="(All)","*",$G$4))</f>
        <v/>
      </c>
      <c r="F11" s="33">
        <f>IFERROR(E11/B11,"")</f>
        <v/>
      </c>
      <c r="G11" s="32">
        <f>IFERROR(AVERAGEIFS(Trades!$Z$2:$Z$74,Trades!$AA$2:$AA$74,$A$11,Trades!$C$2:$C$74,IF($D$4="(All)","*",$D$4),Trades!$AE$2:$AE$74,IF($G$4="(All)","*",$G$4)),"")</f>
        <v/>
      </c>
      <c r="H11" s="28">
        <f>IFERROR(SUMIFS(Trades!$AD$2:$AD$74,Trades!$AA$2:$AA$74,$A$11,Trades!$AD$2:$AD$74,"&gt;0",Trades!$C$2:$C$74,IF($D$4="(All)","*",$D$4),Trades!$AE$2:$AE$74,IF($G$4="(All)","*",$G$4))/-SUMIFS(Trades!$AD$2:$AD$74,Trades!$AA$2:$AA$74,$A$11,Trades!$AD$2:$AD$74,"&lt;0",Trades!$C$2:$C$74,IF($D$4="(All)","*",$D$4),Trades!$AE$2:$AE$74,IF($G$4="(All)","*",$G$4)),"")</f>
        <v/>
      </c>
      <c r="I11" s="31">
        <f>IFERROR(AVERAGEIFS(Trades!$AH$2:$AH$74,Trades!$AA$2:$AA$74,$A$11,Trades!$C$2:$C$74,IF($D$4="(All)","*",$D$4),Trades!$AE$2:$AE$74,IF($G$4="(All)","*",$G$4)),"")</f>
        <v/>
      </c>
      <c r="J11" s="31">
        <f>IFERROR(AVERAGEIFS(Trades!$AI$2:$AI$74,Trades!$AA$2:$AA$74,$A$11,Trades!$C$2:$C$74,IF($D$4="(All)","*",$D$4),Trades!$AE$2:$AE$74,IF($G$4="(All)","*",$G$4)),"")</f>
        <v/>
      </c>
      <c r="K11" s="30">
        <f>IFERROR(AVERAGEIFS(Trades!$O$2:$O$74,Trades!$AA$2:$AA$74,$A$11,Trades!$C$2:$C$74,IF($D$4="(All)","*",$D$4),Trades!$AE$2:$AE$74,IF($G$4="(All)","*",$G$4)),"")</f>
        <v/>
      </c>
      <c r="L11" s="34">
        <f>IFERROR(E11/SUMIFS(Trades!$AD$2:$AD$74,Trades!$C$2:$C$74,IF($D$4="(All)","*",$D$4),Trades!$AE$2:$AE$74,IF($G$4="(All)","*",$G$4))*100,"")</f>
        <v/>
      </c>
    </row>
    <row r="12" ht="16" customHeight="1">
      <c r="A12" s="23" t="inlineStr">
        <is>
          <t>E. Breakeven</t>
        </is>
      </c>
      <c r="B12" s="24">
        <f>COUNTIFS(Trades!$AA$2:$AA$74,$A$12,Trades!$C$2:$C$74,IF($D$4="(All)","*",$D$4),Trades!$AE$2:$AE$74,IF($G$4="(All)","*",$G$4))</f>
        <v/>
      </c>
      <c r="C12" s="24">
        <f>COUNTIFS(Trades!$AE$2:$AE$74,"Win",Trades!$AA$2:$AA$74,$A$12,Trades!$C$2:$C$74,IF($D$4="(All)","*",$D$4),Trades!$AE$2:$AE$74,IF($G$4="(All)","*",$G$4))</f>
        <v/>
      </c>
      <c r="D12" s="34">
        <f>IFERROR(C12/B12*100,"")</f>
        <v/>
      </c>
      <c r="E12" s="33">
        <f>SUMIFS(Trades!$AD$2:$AD$74,Trades!$AA$2:$AA$74,$A$12,Trades!$C$2:$C$74,IF($D$4="(All)","*",$D$4),Trades!$AE$2:$AE$74,IF($G$4="(All)","*",$G$4))</f>
        <v/>
      </c>
      <c r="F12" s="33">
        <f>IFERROR(E12/B12,"")</f>
        <v/>
      </c>
      <c r="G12" s="32">
        <f>IFERROR(AVERAGEIFS(Trades!$Z$2:$Z$74,Trades!$AA$2:$AA$74,$A$12,Trades!$C$2:$C$74,IF($D$4="(All)","*",$D$4),Trades!$AE$2:$AE$74,IF($G$4="(All)","*",$G$4)),"")</f>
        <v/>
      </c>
      <c r="H12" s="28">
        <f>IFERROR(SUMIFS(Trades!$AD$2:$AD$74,Trades!$AA$2:$AA$74,$A$12,Trades!$AD$2:$AD$74,"&gt;0",Trades!$C$2:$C$74,IF($D$4="(All)","*",$D$4),Trades!$AE$2:$AE$74,IF($G$4="(All)","*",$G$4))/-SUMIFS(Trades!$AD$2:$AD$74,Trades!$AA$2:$AA$74,$A$12,Trades!$AD$2:$AD$74,"&lt;0",Trades!$C$2:$C$74,IF($D$4="(All)","*",$D$4),Trades!$AE$2:$AE$74,IF($G$4="(All)","*",$G$4)),"")</f>
        <v/>
      </c>
      <c r="I12" s="31">
        <f>IFERROR(AVERAGEIFS(Trades!$AH$2:$AH$74,Trades!$AA$2:$AA$74,$A$12,Trades!$C$2:$C$74,IF($D$4="(All)","*",$D$4),Trades!$AE$2:$AE$74,IF($G$4="(All)","*",$G$4)),"")</f>
        <v/>
      </c>
      <c r="J12" s="31">
        <f>IFERROR(AVERAGEIFS(Trades!$AI$2:$AI$74,Trades!$AA$2:$AA$74,$A$12,Trades!$C$2:$C$74,IF($D$4="(All)","*",$D$4),Trades!$AE$2:$AE$74,IF($G$4="(All)","*",$G$4)),"")</f>
        <v/>
      </c>
      <c r="K12" s="30">
        <f>IFERROR(AVERAGEIFS(Trades!$O$2:$O$74,Trades!$AA$2:$AA$74,$A$12,Trades!$C$2:$C$74,IF($D$4="(All)","*",$D$4),Trades!$AE$2:$AE$74,IF($G$4="(All)","*",$G$4)),"")</f>
        <v/>
      </c>
      <c r="L12" s="34">
        <f>IFERROR(E12/SUMIFS(Trades!$AD$2:$AD$74,Trades!$C$2:$C$74,IF($D$4="(All)","*",$D$4),Trades!$AE$2:$AE$74,IF($G$4="(All)","*",$G$4))*100,"")</f>
        <v/>
      </c>
    </row>
    <row r="13" ht="16" customHeight="1">
      <c r="A13" s="23" t="inlineStr">
        <is>
          <t>F. 0..0.5R</t>
        </is>
      </c>
      <c r="B13" s="24">
        <f>COUNTIFS(Trades!$AA$2:$AA$74,$A$13,Trades!$C$2:$C$74,IF($D$4="(All)","*",$D$4),Trades!$AE$2:$AE$74,IF($G$4="(All)","*",$G$4))</f>
        <v/>
      </c>
      <c r="C13" s="24">
        <f>COUNTIFS(Trades!$AE$2:$AE$74,"Win",Trades!$AA$2:$AA$74,$A$13,Trades!$C$2:$C$74,IF($D$4="(All)","*",$D$4),Trades!$AE$2:$AE$74,IF($G$4="(All)","*",$G$4))</f>
        <v/>
      </c>
      <c r="D13" s="34">
        <f>IFERROR(C13/B13*100,"")</f>
        <v/>
      </c>
      <c r="E13" s="33">
        <f>SUMIFS(Trades!$AD$2:$AD$74,Trades!$AA$2:$AA$74,$A$13,Trades!$C$2:$C$74,IF($D$4="(All)","*",$D$4),Trades!$AE$2:$AE$74,IF($G$4="(All)","*",$G$4))</f>
        <v/>
      </c>
      <c r="F13" s="33">
        <f>IFERROR(E13/B13,"")</f>
        <v/>
      </c>
      <c r="G13" s="32">
        <f>IFERROR(AVERAGEIFS(Trades!$Z$2:$Z$74,Trades!$AA$2:$AA$74,$A$13,Trades!$C$2:$C$74,IF($D$4="(All)","*",$D$4),Trades!$AE$2:$AE$74,IF($G$4="(All)","*",$G$4)),"")</f>
        <v/>
      </c>
      <c r="H13" s="28">
        <f>IFERROR(SUMIFS(Trades!$AD$2:$AD$74,Trades!$AA$2:$AA$74,$A$13,Trades!$AD$2:$AD$74,"&gt;0",Trades!$C$2:$C$74,IF($D$4="(All)","*",$D$4),Trades!$AE$2:$AE$74,IF($G$4="(All)","*",$G$4))/-SUMIFS(Trades!$AD$2:$AD$74,Trades!$AA$2:$AA$74,$A$13,Trades!$AD$2:$AD$74,"&lt;0",Trades!$C$2:$C$74,IF($D$4="(All)","*",$D$4),Trades!$AE$2:$AE$74,IF($G$4="(All)","*",$G$4)),"")</f>
        <v/>
      </c>
      <c r="I13" s="31">
        <f>IFERROR(AVERAGEIFS(Trades!$AH$2:$AH$74,Trades!$AA$2:$AA$74,$A$13,Trades!$C$2:$C$74,IF($D$4="(All)","*",$D$4),Trades!$AE$2:$AE$74,IF($G$4="(All)","*",$G$4)),"")</f>
        <v/>
      </c>
      <c r="J13" s="31">
        <f>IFERROR(AVERAGEIFS(Trades!$AI$2:$AI$74,Trades!$AA$2:$AA$74,$A$13,Trades!$C$2:$C$74,IF($D$4="(All)","*",$D$4),Trades!$AE$2:$AE$74,IF($G$4="(All)","*",$G$4)),"")</f>
        <v/>
      </c>
      <c r="K13" s="30">
        <f>IFERROR(AVERAGEIFS(Trades!$O$2:$O$74,Trades!$AA$2:$AA$74,$A$13,Trades!$C$2:$C$74,IF($D$4="(All)","*",$D$4),Trades!$AE$2:$AE$74,IF($G$4="(All)","*",$G$4)),"")</f>
        <v/>
      </c>
      <c r="L13" s="34">
        <f>IFERROR(E13/SUMIFS(Trades!$AD$2:$AD$74,Trades!$C$2:$C$74,IF($D$4="(All)","*",$D$4),Trades!$AE$2:$AE$74,IF($G$4="(All)","*",$G$4))*100,"")</f>
        <v/>
      </c>
    </row>
    <row r="14" ht="16" customHeight="1">
      <c r="A14" s="23" t="inlineStr">
        <is>
          <t>H. 1R..2R</t>
        </is>
      </c>
      <c r="B14" s="24">
        <f>COUNTIFS(Trades!$AA$2:$AA$74,$A$14,Trades!$C$2:$C$74,IF($D$4="(All)","*",$D$4),Trades!$AE$2:$AE$74,IF($G$4="(All)","*",$G$4))</f>
        <v/>
      </c>
      <c r="C14" s="24">
        <f>COUNTIFS(Trades!$AE$2:$AE$74,"Win",Trades!$AA$2:$AA$74,$A$14,Trades!$C$2:$C$74,IF($D$4="(All)","*",$D$4),Trades!$AE$2:$AE$74,IF($G$4="(All)","*",$G$4))</f>
        <v/>
      </c>
      <c r="D14" s="34">
        <f>IFERROR(C14/B14*100,"")</f>
        <v/>
      </c>
      <c r="E14" s="33">
        <f>SUMIFS(Trades!$AD$2:$AD$74,Trades!$AA$2:$AA$74,$A$14,Trades!$C$2:$C$74,IF($D$4="(All)","*",$D$4),Trades!$AE$2:$AE$74,IF($G$4="(All)","*",$G$4))</f>
        <v/>
      </c>
      <c r="F14" s="33">
        <f>IFERROR(E14/B14,"")</f>
        <v/>
      </c>
      <c r="G14" s="32">
        <f>IFERROR(AVERAGEIFS(Trades!$Z$2:$Z$74,Trades!$AA$2:$AA$74,$A$14,Trades!$C$2:$C$74,IF($D$4="(All)","*",$D$4),Trades!$AE$2:$AE$74,IF($G$4="(All)","*",$G$4)),"")</f>
        <v/>
      </c>
      <c r="H14" s="28">
        <f>IFERROR(SUMIFS(Trades!$AD$2:$AD$74,Trades!$AA$2:$AA$74,$A$14,Trades!$AD$2:$AD$74,"&gt;0",Trades!$C$2:$C$74,IF($D$4="(All)","*",$D$4),Trades!$AE$2:$AE$74,IF($G$4="(All)","*",$G$4))/-SUMIFS(Trades!$AD$2:$AD$74,Trades!$AA$2:$AA$74,$A$14,Trades!$AD$2:$AD$74,"&lt;0",Trades!$C$2:$C$74,IF($D$4="(All)","*",$D$4),Trades!$AE$2:$AE$74,IF($G$4="(All)","*",$G$4)),"")</f>
        <v/>
      </c>
      <c r="I14" s="31">
        <f>IFERROR(AVERAGEIFS(Trades!$AH$2:$AH$74,Trades!$AA$2:$AA$74,$A$14,Trades!$C$2:$C$74,IF($D$4="(All)","*",$D$4),Trades!$AE$2:$AE$74,IF($G$4="(All)","*",$G$4)),"")</f>
        <v/>
      </c>
      <c r="J14" s="31">
        <f>IFERROR(AVERAGEIFS(Trades!$AI$2:$AI$74,Trades!$AA$2:$AA$74,$A$14,Trades!$C$2:$C$74,IF($D$4="(All)","*",$D$4),Trades!$AE$2:$AE$74,IF($G$4="(All)","*",$G$4)),"")</f>
        <v/>
      </c>
      <c r="K14" s="30">
        <f>IFERROR(AVERAGEIFS(Trades!$O$2:$O$74,Trades!$AA$2:$AA$74,$A$14,Trades!$C$2:$C$74,IF($D$4="(All)","*",$D$4),Trades!$AE$2:$AE$74,IF($G$4="(All)","*",$G$4)),"")</f>
        <v/>
      </c>
      <c r="L14" s="34">
        <f>IFERROR(E14/SUMIFS(Trades!$AD$2:$AD$74,Trades!$C$2:$C$74,IF($D$4="(All)","*",$D$4),Trades!$AE$2:$AE$74,IF($G$4="(All)","*",$G$4))*100,"")</f>
        <v/>
      </c>
    </row>
    <row r="15" ht="16" customHeight="1">
      <c r="A15" s="23" t="inlineStr">
        <is>
          <t>I. 2R..3R</t>
        </is>
      </c>
      <c r="B15" s="24">
        <f>COUNTIFS(Trades!$AA$2:$AA$74,$A$15,Trades!$C$2:$C$74,IF($D$4="(All)","*",$D$4),Trades!$AE$2:$AE$74,IF($G$4="(All)","*",$G$4))</f>
        <v/>
      </c>
      <c r="C15" s="24">
        <f>COUNTIFS(Trades!$AE$2:$AE$74,"Win",Trades!$AA$2:$AA$74,$A$15,Trades!$C$2:$C$74,IF($D$4="(All)","*",$D$4),Trades!$AE$2:$AE$74,IF($G$4="(All)","*",$G$4))</f>
        <v/>
      </c>
      <c r="D15" s="34">
        <f>IFERROR(C15/B15*100,"")</f>
        <v/>
      </c>
      <c r="E15" s="33">
        <f>SUMIFS(Trades!$AD$2:$AD$74,Trades!$AA$2:$AA$74,$A$15,Trades!$C$2:$C$74,IF($D$4="(All)","*",$D$4),Trades!$AE$2:$AE$74,IF($G$4="(All)","*",$G$4))</f>
        <v/>
      </c>
      <c r="F15" s="33">
        <f>IFERROR(E15/B15,"")</f>
        <v/>
      </c>
      <c r="G15" s="32">
        <f>IFERROR(AVERAGEIFS(Trades!$Z$2:$Z$74,Trades!$AA$2:$AA$74,$A$15,Trades!$C$2:$C$74,IF($D$4="(All)","*",$D$4),Trades!$AE$2:$AE$74,IF($G$4="(All)","*",$G$4)),"")</f>
        <v/>
      </c>
      <c r="H15" s="28">
        <f>IFERROR(SUMIFS(Trades!$AD$2:$AD$74,Trades!$AA$2:$AA$74,$A$15,Trades!$AD$2:$AD$74,"&gt;0",Trades!$C$2:$C$74,IF($D$4="(All)","*",$D$4),Trades!$AE$2:$AE$74,IF($G$4="(All)","*",$G$4))/-SUMIFS(Trades!$AD$2:$AD$74,Trades!$AA$2:$AA$74,$A$15,Trades!$AD$2:$AD$74,"&lt;0",Trades!$C$2:$C$74,IF($D$4="(All)","*",$D$4),Trades!$AE$2:$AE$74,IF($G$4="(All)","*",$G$4)),"")</f>
        <v/>
      </c>
      <c r="I15" s="31">
        <f>IFERROR(AVERAGEIFS(Trades!$AH$2:$AH$74,Trades!$AA$2:$AA$74,$A$15,Trades!$C$2:$C$74,IF($D$4="(All)","*",$D$4),Trades!$AE$2:$AE$74,IF($G$4="(All)","*",$G$4)),"")</f>
        <v/>
      </c>
      <c r="J15" s="31">
        <f>IFERROR(AVERAGEIFS(Trades!$AI$2:$AI$74,Trades!$AA$2:$AA$74,$A$15,Trades!$C$2:$C$74,IF($D$4="(All)","*",$D$4),Trades!$AE$2:$AE$74,IF($G$4="(All)","*",$G$4)),"")</f>
        <v/>
      </c>
      <c r="K15" s="30">
        <f>IFERROR(AVERAGEIFS(Trades!$O$2:$O$74,Trades!$AA$2:$AA$74,$A$15,Trades!$C$2:$C$74,IF($D$4="(All)","*",$D$4),Trades!$AE$2:$AE$74,IF($G$4="(All)","*",$G$4)),"")</f>
        <v/>
      </c>
      <c r="L15" s="34">
        <f>IFERROR(E15/SUMIFS(Trades!$AD$2:$AD$74,Trades!$C$2:$C$74,IF($D$4="(All)","*",$D$4),Trades!$AE$2:$AE$74,IF($G$4="(All)","*",$G$4))*100,"")</f>
        <v/>
      </c>
    </row>
    <row r="16" ht="16" customHeight="1">
      <c r="A16" s="23" t="inlineStr">
        <is>
          <t>J. &gt;= 3R</t>
        </is>
      </c>
      <c r="B16" s="24">
        <f>COUNTIFS(Trades!$AA$2:$AA$74,$A$16,Trades!$C$2:$C$74,IF($D$4="(All)","*",$D$4),Trades!$AE$2:$AE$74,IF($G$4="(All)","*",$G$4))</f>
        <v/>
      </c>
      <c r="C16" s="24">
        <f>COUNTIFS(Trades!$AE$2:$AE$74,"Win",Trades!$AA$2:$AA$74,$A$16,Trades!$C$2:$C$74,IF($D$4="(All)","*",$D$4),Trades!$AE$2:$AE$74,IF($G$4="(All)","*",$G$4))</f>
        <v/>
      </c>
      <c r="D16" s="34">
        <f>IFERROR(C16/B16*100,"")</f>
        <v/>
      </c>
      <c r="E16" s="33">
        <f>SUMIFS(Trades!$AD$2:$AD$74,Trades!$AA$2:$AA$74,$A$16,Trades!$C$2:$C$74,IF($D$4="(All)","*",$D$4),Trades!$AE$2:$AE$74,IF($G$4="(All)","*",$G$4))</f>
        <v/>
      </c>
      <c r="F16" s="33">
        <f>IFERROR(E16/B16,"")</f>
        <v/>
      </c>
      <c r="G16" s="32">
        <f>IFERROR(AVERAGEIFS(Trades!$Z$2:$Z$74,Trades!$AA$2:$AA$74,$A$16,Trades!$C$2:$C$74,IF($D$4="(All)","*",$D$4),Trades!$AE$2:$AE$74,IF($G$4="(All)","*",$G$4)),"")</f>
        <v/>
      </c>
      <c r="H16" s="28">
        <f>IFERROR(SUMIFS(Trades!$AD$2:$AD$74,Trades!$AA$2:$AA$74,$A$16,Trades!$AD$2:$AD$74,"&gt;0",Trades!$C$2:$C$74,IF($D$4="(All)","*",$D$4),Trades!$AE$2:$AE$74,IF($G$4="(All)","*",$G$4))/-SUMIFS(Trades!$AD$2:$AD$74,Trades!$AA$2:$AA$74,$A$16,Trades!$AD$2:$AD$74,"&lt;0",Trades!$C$2:$C$74,IF($D$4="(All)","*",$D$4),Trades!$AE$2:$AE$74,IF($G$4="(All)","*",$G$4)),"")</f>
        <v/>
      </c>
      <c r="I16" s="31">
        <f>IFERROR(AVERAGEIFS(Trades!$AH$2:$AH$74,Trades!$AA$2:$AA$74,$A$16,Trades!$C$2:$C$74,IF($D$4="(All)","*",$D$4),Trades!$AE$2:$AE$74,IF($G$4="(All)","*",$G$4)),"")</f>
        <v/>
      </c>
      <c r="J16" s="31">
        <f>IFERROR(AVERAGEIFS(Trades!$AI$2:$AI$74,Trades!$AA$2:$AA$74,$A$16,Trades!$C$2:$C$74,IF($D$4="(All)","*",$D$4),Trades!$AE$2:$AE$74,IF($G$4="(All)","*",$G$4)),"")</f>
        <v/>
      </c>
      <c r="K16" s="30">
        <f>IFERROR(AVERAGEIFS(Trades!$O$2:$O$74,Trades!$AA$2:$AA$74,$A$16,Trades!$C$2:$C$74,IF($D$4="(All)","*",$D$4),Trades!$AE$2:$AE$74,IF($G$4="(All)","*",$G$4)),"")</f>
        <v/>
      </c>
      <c r="L16" s="34">
        <f>IFERROR(E16/SUMIFS(Trades!$AD$2:$AD$74,Trades!$C$2:$C$74,IF($D$4="(All)","*",$D$4),Trades!$AE$2:$AE$74,IF($G$4="(All)","*",$G$4))*100,"")</f>
        <v/>
      </c>
    </row>
    <row r="17">
      <c r="A17" s="40" t="inlineStr">
        <is>
          <t>All trades</t>
        </is>
      </c>
      <c r="B17" s="41">
        <f>COUNTIFS(Trades!$C$2:$C$74,IF($D$4="(All)","*",$D$4),Trades!$AE$2:$AE$74,IF($G$4="(All)","*",$G$4))</f>
        <v/>
      </c>
      <c r="C17" s="41">
        <f>COUNTIFS(Trades!$AE$2:$AE$74,"Win",Trades!$C$2:$C$74,IF($D$4="(All)","*",$D$4),Trades!$AE$2:$AE$74,IF($G$4="(All)","*",$G$4))</f>
        <v/>
      </c>
      <c r="D17" s="42">
        <f>IFERROR(C17/B17*100,"")</f>
        <v/>
      </c>
      <c r="E17" s="43">
        <f>SUMIFS(Trades!$AD$2:$AD$74,Trades!$C$2:$C$74,IF($D$4="(All)","*",$D$4),Trades!$AE$2:$AE$74,IF($G$4="(All)","*",$G$4))</f>
        <v/>
      </c>
      <c r="F17" s="43">
        <f>IFERROR(E17/B17,"")</f>
        <v/>
      </c>
      <c r="G17" s="44">
        <f>IFERROR(AVERAGEIFS(Trades!$Z$2:$Z$74,Trades!$C$2:$C$74,IF($D$4="(All)","*",$D$4),Trades!$AE$2:$AE$74,IF($G$4="(All)","*",$G$4)),"")</f>
        <v/>
      </c>
      <c r="H17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17" s="46">
        <f>IFERROR(AVERAGEIFS(Trades!$AH$2:$AH$74,Trades!$C$2:$C$74,IF($D$4="(All)","*",$D$4),Trades!$AE$2:$AE$74,IF($G$4="(All)","*",$G$4)),"")</f>
        <v/>
      </c>
      <c r="J17" s="46">
        <f>IFERROR(AVERAGEIFS(Trades!$AI$2:$AI$74,Trades!$C$2:$C$74,IF($D$4="(All)","*",$D$4),Trades!$AE$2:$AE$74,IF($G$4="(All)","*",$G$4)),"")</f>
        <v/>
      </c>
      <c r="K17" s="47">
        <f>IFERROR(AVERAGEIFS(Trades!$O$2:$O$74,Trades!$C$2:$C$74,IF($D$4="(All)","*",$D$4),Trades!$AE$2:$AE$74,IF($G$4="(All)","*",$G$4)),"")</f>
        <v/>
      </c>
      <c r="L17" s="42">
        <f>IFERROR(E17/SUMIFS(Trades!$AD$2:$AD$74,Trades!$C$2:$C$74,IF($D$4="(All)","*",$D$4),Trades!$AE$2:$AE$74,IF($G$4="(All)","*",$G$4))*100,"")</f>
        <v/>
      </c>
    </row>
    <row r="20">
      <c r="A20" s="4" t="inlineStr">
        <is>
          <t>By duration band</t>
        </is>
      </c>
      <c r="E20" s="39" t="inlineStr">
        <is>
          <t>Time in the market against money made.</t>
        </is>
      </c>
    </row>
    <row r="21" ht="28" customHeight="1">
      <c r="A21" s="22" t="inlineStr">
        <is>
          <t>Duration band</t>
        </is>
      </c>
      <c r="B21" s="22" t="inlineStr">
        <is>
          <t>Trades</t>
        </is>
      </c>
      <c r="C21" s="22" t="inlineStr">
        <is>
          <t>Wins</t>
        </is>
      </c>
      <c r="D21" s="22" t="inlineStr">
        <is>
          <t>Win %</t>
        </is>
      </c>
      <c r="E21" s="22" t="inlineStr">
        <is>
          <t>Net</t>
        </is>
      </c>
      <c r="F21" s="22" t="inlineStr">
        <is>
          <t>Expectancy</t>
        </is>
      </c>
      <c r="G21" s="22" t="inlineStr">
        <is>
          <t>Avg R</t>
        </is>
      </c>
      <c r="H21" s="22" t="inlineStr">
        <is>
          <t>Profit factor</t>
        </is>
      </c>
      <c r="I21" s="22" t="inlineStr">
        <is>
          <t>Avg MFE</t>
        </is>
      </c>
      <c r="J21" s="22" t="inlineStr">
        <is>
          <t>Avg MAE</t>
        </is>
      </c>
      <c r="K21" s="22" t="inlineStr">
        <is>
          <t>Avg dur (min)</t>
        </is>
      </c>
      <c r="L21" s="22" t="inlineStr">
        <is>
          <t>Share of net</t>
        </is>
      </c>
    </row>
    <row r="22" ht="16" customHeight="1">
      <c r="A22" s="23" t="inlineStr">
        <is>
          <t>A. &lt; 1 min</t>
        </is>
      </c>
      <c r="B22" s="24">
        <f>COUNTIFS(Trades!$P$2:$P$74,$A$22,Trades!$C$2:$C$74,IF($D$4="(All)","*",$D$4),Trades!$AE$2:$AE$74,IF($G$4="(All)","*",$G$4))</f>
        <v/>
      </c>
      <c r="C22" s="24">
        <f>COUNTIFS(Trades!$AE$2:$AE$74,"Win",Trades!$P$2:$P$74,$A$22,Trades!$C$2:$C$74,IF($D$4="(All)","*",$D$4),Trades!$AE$2:$AE$74,IF($G$4="(All)","*",$G$4))</f>
        <v/>
      </c>
      <c r="D22" s="34">
        <f>IFERROR(C22/B22*100,"")</f>
        <v/>
      </c>
      <c r="E22" s="33">
        <f>SUMIFS(Trades!$AD$2:$AD$74,Trades!$P$2:$P$74,$A$22,Trades!$C$2:$C$74,IF($D$4="(All)","*",$D$4),Trades!$AE$2:$AE$74,IF($G$4="(All)","*",$G$4))</f>
        <v/>
      </c>
      <c r="F22" s="33">
        <f>IFERROR(E22/B22,"")</f>
        <v/>
      </c>
      <c r="G22" s="32">
        <f>IFERROR(AVERAGEIFS(Trades!$Z$2:$Z$74,Trades!$P$2:$P$74,$A$22,Trades!$C$2:$C$74,IF($D$4="(All)","*",$D$4),Trades!$AE$2:$AE$74,IF($G$4="(All)","*",$G$4)),"")</f>
        <v/>
      </c>
      <c r="H22" s="28">
        <f>IFERROR(SUMIFS(Trades!$AD$2:$AD$74,Trades!$P$2:$P$74,$A$22,Trades!$AD$2:$AD$74,"&gt;0",Trades!$C$2:$C$74,IF($D$4="(All)","*",$D$4),Trades!$AE$2:$AE$74,IF($G$4="(All)","*",$G$4))/-SUMIFS(Trades!$AD$2:$AD$74,Trades!$P$2:$P$74,$A$22,Trades!$AD$2:$AD$74,"&lt;0",Trades!$C$2:$C$74,IF($D$4="(All)","*",$D$4),Trades!$AE$2:$AE$74,IF($G$4="(All)","*",$G$4)),"")</f>
        <v/>
      </c>
      <c r="I22" s="31">
        <f>IFERROR(AVERAGEIFS(Trades!$AH$2:$AH$74,Trades!$P$2:$P$74,$A$22,Trades!$C$2:$C$74,IF($D$4="(All)","*",$D$4),Trades!$AE$2:$AE$74,IF($G$4="(All)","*",$G$4)),"")</f>
        <v/>
      </c>
      <c r="J22" s="31">
        <f>IFERROR(AVERAGEIFS(Trades!$AI$2:$AI$74,Trades!$P$2:$P$74,$A$22,Trades!$C$2:$C$74,IF($D$4="(All)","*",$D$4),Trades!$AE$2:$AE$74,IF($G$4="(All)","*",$G$4)),"")</f>
        <v/>
      </c>
      <c r="K22" s="30">
        <f>IFERROR(AVERAGEIFS(Trades!$O$2:$O$74,Trades!$P$2:$P$74,$A$22,Trades!$C$2:$C$74,IF($D$4="(All)","*",$D$4),Trades!$AE$2:$AE$74,IF($G$4="(All)","*",$G$4)),"")</f>
        <v/>
      </c>
      <c r="L22" s="34">
        <f>IFERROR(E22/SUMIFS(Trades!$AD$2:$AD$74,Trades!$C$2:$C$74,IF($D$4="(All)","*",$D$4),Trades!$AE$2:$AE$74,IF($G$4="(All)","*",$G$4))*100,"")</f>
        <v/>
      </c>
    </row>
    <row r="23" ht="16" customHeight="1">
      <c r="A23" s="23" t="inlineStr">
        <is>
          <t>B. 1-5 min</t>
        </is>
      </c>
      <c r="B23" s="24">
        <f>COUNTIFS(Trades!$P$2:$P$74,$A$23,Trades!$C$2:$C$74,IF($D$4="(All)","*",$D$4),Trades!$AE$2:$AE$74,IF($G$4="(All)","*",$G$4))</f>
        <v/>
      </c>
      <c r="C23" s="24">
        <f>COUNTIFS(Trades!$AE$2:$AE$74,"Win",Trades!$P$2:$P$74,$A$23,Trades!$C$2:$C$74,IF($D$4="(All)","*",$D$4),Trades!$AE$2:$AE$74,IF($G$4="(All)","*",$G$4))</f>
        <v/>
      </c>
      <c r="D23" s="34">
        <f>IFERROR(C23/B23*100,"")</f>
        <v/>
      </c>
      <c r="E23" s="33">
        <f>SUMIFS(Trades!$AD$2:$AD$74,Trades!$P$2:$P$74,$A$23,Trades!$C$2:$C$74,IF($D$4="(All)","*",$D$4),Trades!$AE$2:$AE$74,IF($G$4="(All)","*",$G$4))</f>
        <v/>
      </c>
      <c r="F23" s="33">
        <f>IFERROR(E23/B23,"")</f>
        <v/>
      </c>
      <c r="G23" s="32">
        <f>IFERROR(AVERAGEIFS(Trades!$Z$2:$Z$74,Trades!$P$2:$P$74,$A$23,Trades!$C$2:$C$74,IF($D$4="(All)","*",$D$4),Trades!$AE$2:$AE$74,IF($G$4="(All)","*",$G$4)),"")</f>
        <v/>
      </c>
      <c r="H23" s="28">
        <f>IFERROR(SUMIFS(Trades!$AD$2:$AD$74,Trades!$P$2:$P$74,$A$23,Trades!$AD$2:$AD$74,"&gt;0",Trades!$C$2:$C$74,IF($D$4="(All)","*",$D$4),Trades!$AE$2:$AE$74,IF($G$4="(All)","*",$G$4))/-SUMIFS(Trades!$AD$2:$AD$74,Trades!$P$2:$P$74,$A$23,Trades!$AD$2:$AD$74,"&lt;0",Trades!$C$2:$C$74,IF($D$4="(All)","*",$D$4),Trades!$AE$2:$AE$74,IF($G$4="(All)","*",$G$4)),"")</f>
        <v/>
      </c>
      <c r="I23" s="31">
        <f>IFERROR(AVERAGEIFS(Trades!$AH$2:$AH$74,Trades!$P$2:$P$74,$A$23,Trades!$C$2:$C$74,IF($D$4="(All)","*",$D$4),Trades!$AE$2:$AE$74,IF($G$4="(All)","*",$G$4)),"")</f>
        <v/>
      </c>
      <c r="J23" s="31">
        <f>IFERROR(AVERAGEIFS(Trades!$AI$2:$AI$74,Trades!$P$2:$P$74,$A$23,Trades!$C$2:$C$74,IF($D$4="(All)","*",$D$4),Trades!$AE$2:$AE$74,IF($G$4="(All)","*",$G$4)),"")</f>
        <v/>
      </c>
      <c r="K23" s="30">
        <f>IFERROR(AVERAGEIFS(Trades!$O$2:$O$74,Trades!$P$2:$P$74,$A$23,Trades!$C$2:$C$74,IF($D$4="(All)","*",$D$4),Trades!$AE$2:$AE$74,IF($G$4="(All)","*",$G$4)),"")</f>
        <v/>
      </c>
      <c r="L23" s="34">
        <f>IFERROR(E23/SUMIFS(Trades!$AD$2:$AD$74,Trades!$C$2:$C$74,IF($D$4="(All)","*",$D$4),Trades!$AE$2:$AE$74,IF($G$4="(All)","*",$G$4))*100,"")</f>
        <v/>
      </c>
    </row>
    <row r="24" ht="16" customHeight="1">
      <c r="A24" s="23" t="inlineStr">
        <is>
          <t>C. 5-15 min</t>
        </is>
      </c>
      <c r="B24" s="24">
        <f>COUNTIFS(Trades!$P$2:$P$74,$A$24,Trades!$C$2:$C$74,IF($D$4="(All)","*",$D$4),Trades!$AE$2:$AE$74,IF($G$4="(All)","*",$G$4))</f>
        <v/>
      </c>
      <c r="C24" s="24">
        <f>COUNTIFS(Trades!$AE$2:$AE$74,"Win",Trades!$P$2:$P$74,$A$24,Trades!$C$2:$C$74,IF($D$4="(All)","*",$D$4),Trades!$AE$2:$AE$74,IF($G$4="(All)","*",$G$4))</f>
        <v/>
      </c>
      <c r="D24" s="34">
        <f>IFERROR(C24/B24*100,"")</f>
        <v/>
      </c>
      <c r="E24" s="33">
        <f>SUMIFS(Trades!$AD$2:$AD$74,Trades!$P$2:$P$74,$A$24,Trades!$C$2:$C$74,IF($D$4="(All)","*",$D$4),Trades!$AE$2:$AE$74,IF($G$4="(All)","*",$G$4))</f>
        <v/>
      </c>
      <c r="F24" s="33">
        <f>IFERROR(E24/B24,"")</f>
        <v/>
      </c>
      <c r="G24" s="32">
        <f>IFERROR(AVERAGEIFS(Trades!$Z$2:$Z$74,Trades!$P$2:$P$74,$A$24,Trades!$C$2:$C$74,IF($D$4="(All)","*",$D$4),Trades!$AE$2:$AE$74,IF($G$4="(All)","*",$G$4)),"")</f>
        <v/>
      </c>
      <c r="H24" s="28">
        <f>IFERROR(SUMIFS(Trades!$AD$2:$AD$74,Trades!$P$2:$P$74,$A$24,Trades!$AD$2:$AD$74,"&gt;0",Trades!$C$2:$C$74,IF($D$4="(All)","*",$D$4),Trades!$AE$2:$AE$74,IF($G$4="(All)","*",$G$4))/-SUMIFS(Trades!$AD$2:$AD$74,Trades!$P$2:$P$74,$A$24,Trades!$AD$2:$AD$74,"&lt;0",Trades!$C$2:$C$74,IF($D$4="(All)","*",$D$4),Trades!$AE$2:$AE$74,IF($G$4="(All)","*",$G$4)),"")</f>
        <v/>
      </c>
      <c r="I24" s="31">
        <f>IFERROR(AVERAGEIFS(Trades!$AH$2:$AH$74,Trades!$P$2:$P$74,$A$24,Trades!$C$2:$C$74,IF($D$4="(All)","*",$D$4),Trades!$AE$2:$AE$74,IF($G$4="(All)","*",$G$4)),"")</f>
        <v/>
      </c>
      <c r="J24" s="31">
        <f>IFERROR(AVERAGEIFS(Trades!$AI$2:$AI$74,Trades!$P$2:$P$74,$A$24,Trades!$C$2:$C$74,IF($D$4="(All)","*",$D$4),Trades!$AE$2:$AE$74,IF($G$4="(All)","*",$G$4)),"")</f>
        <v/>
      </c>
      <c r="K24" s="30">
        <f>IFERROR(AVERAGEIFS(Trades!$O$2:$O$74,Trades!$P$2:$P$74,$A$24,Trades!$C$2:$C$74,IF($D$4="(All)","*",$D$4),Trades!$AE$2:$AE$74,IF($G$4="(All)","*",$G$4)),"")</f>
        <v/>
      </c>
      <c r="L24" s="34">
        <f>IFERROR(E24/SUMIFS(Trades!$AD$2:$AD$74,Trades!$C$2:$C$74,IF($D$4="(All)","*",$D$4),Trades!$AE$2:$AE$74,IF($G$4="(All)","*",$G$4))*100,"")</f>
        <v/>
      </c>
    </row>
    <row r="25" ht="16" customHeight="1">
      <c r="A25" s="23" t="inlineStr">
        <is>
          <t>D. 15-30 min</t>
        </is>
      </c>
      <c r="B25" s="24">
        <f>COUNTIFS(Trades!$P$2:$P$74,$A$25,Trades!$C$2:$C$74,IF($D$4="(All)","*",$D$4),Trades!$AE$2:$AE$74,IF($G$4="(All)","*",$G$4))</f>
        <v/>
      </c>
      <c r="C25" s="24">
        <f>COUNTIFS(Trades!$AE$2:$AE$74,"Win",Trades!$P$2:$P$74,$A$25,Trades!$C$2:$C$74,IF($D$4="(All)","*",$D$4),Trades!$AE$2:$AE$74,IF($G$4="(All)","*",$G$4))</f>
        <v/>
      </c>
      <c r="D25" s="34">
        <f>IFERROR(C25/B25*100,"")</f>
        <v/>
      </c>
      <c r="E25" s="33">
        <f>SUMIFS(Trades!$AD$2:$AD$74,Trades!$P$2:$P$74,$A$25,Trades!$C$2:$C$74,IF($D$4="(All)","*",$D$4),Trades!$AE$2:$AE$74,IF($G$4="(All)","*",$G$4))</f>
        <v/>
      </c>
      <c r="F25" s="33">
        <f>IFERROR(E25/B25,"")</f>
        <v/>
      </c>
      <c r="G25" s="32">
        <f>IFERROR(AVERAGEIFS(Trades!$Z$2:$Z$74,Trades!$P$2:$P$74,$A$25,Trades!$C$2:$C$74,IF($D$4="(All)","*",$D$4),Trades!$AE$2:$AE$74,IF($G$4="(All)","*",$G$4)),"")</f>
        <v/>
      </c>
      <c r="H25" s="28">
        <f>IFERROR(SUMIFS(Trades!$AD$2:$AD$74,Trades!$P$2:$P$74,$A$25,Trades!$AD$2:$AD$74,"&gt;0",Trades!$C$2:$C$74,IF($D$4="(All)","*",$D$4),Trades!$AE$2:$AE$74,IF($G$4="(All)","*",$G$4))/-SUMIFS(Trades!$AD$2:$AD$74,Trades!$P$2:$P$74,$A$25,Trades!$AD$2:$AD$74,"&lt;0",Trades!$C$2:$C$74,IF($D$4="(All)","*",$D$4),Trades!$AE$2:$AE$74,IF($G$4="(All)","*",$G$4)),"")</f>
        <v/>
      </c>
      <c r="I25" s="31">
        <f>IFERROR(AVERAGEIFS(Trades!$AH$2:$AH$74,Trades!$P$2:$P$74,$A$25,Trades!$C$2:$C$74,IF($D$4="(All)","*",$D$4),Trades!$AE$2:$AE$74,IF($G$4="(All)","*",$G$4)),"")</f>
        <v/>
      </c>
      <c r="J25" s="31">
        <f>IFERROR(AVERAGEIFS(Trades!$AI$2:$AI$74,Trades!$P$2:$P$74,$A$25,Trades!$C$2:$C$74,IF($D$4="(All)","*",$D$4),Trades!$AE$2:$AE$74,IF($G$4="(All)","*",$G$4)),"")</f>
        <v/>
      </c>
      <c r="K25" s="30">
        <f>IFERROR(AVERAGEIFS(Trades!$O$2:$O$74,Trades!$P$2:$P$74,$A$25,Trades!$C$2:$C$74,IF($D$4="(All)","*",$D$4),Trades!$AE$2:$AE$74,IF($G$4="(All)","*",$G$4)),"")</f>
        <v/>
      </c>
      <c r="L25" s="34">
        <f>IFERROR(E25/SUMIFS(Trades!$AD$2:$AD$74,Trades!$C$2:$C$74,IF($D$4="(All)","*",$D$4),Trades!$AE$2:$AE$74,IF($G$4="(All)","*",$G$4))*100,"")</f>
        <v/>
      </c>
    </row>
    <row r="26" ht="16" customHeight="1">
      <c r="A26" s="23" t="inlineStr">
        <is>
          <t>E. 30-60 min</t>
        </is>
      </c>
      <c r="B26" s="24">
        <f>COUNTIFS(Trades!$P$2:$P$74,$A$26,Trades!$C$2:$C$74,IF($D$4="(All)","*",$D$4),Trades!$AE$2:$AE$74,IF($G$4="(All)","*",$G$4))</f>
        <v/>
      </c>
      <c r="C26" s="24">
        <f>COUNTIFS(Trades!$AE$2:$AE$74,"Win",Trades!$P$2:$P$74,$A$26,Trades!$C$2:$C$74,IF($D$4="(All)","*",$D$4),Trades!$AE$2:$AE$74,IF($G$4="(All)","*",$G$4))</f>
        <v/>
      </c>
      <c r="D26" s="34">
        <f>IFERROR(C26/B26*100,"")</f>
        <v/>
      </c>
      <c r="E26" s="33">
        <f>SUMIFS(Trades!$AD$2:$AD$74,Trades!$P$2:$P$74,$A$26,Trades!$C$2:$C$74,IF($D$4="(All)","*",$D$4),Trades!$AE$2:$AE$74,IF($G$4="(All)","*",$G$4))</f>
        <v/>
      </c>
      <c r="F26" s="33">
        <f>IFERROR(E26/B26,"")</f>
        <v/>
      </c>
      <c r="G26" s="32">
        <f>IFERROR(AVERAGEIFS(Trades!$Z$2:$Z$74,Trades!$P$2:$P$74,$A$26,Trades!$C$2:$C$74,IF($D$4="(All)","*",$D$4),Trades!$AE$2:$AE$74,IF($G$4="(All)","*",$G$4)),"")</f>
        <v/>
      </c>
      <c r="H26" s="28">
        <f>IFERROR(SUMIFS(Trades!$AD$2:$AD$74,Trades!$P$2:$P$74,$A$26,Trades!$AD$2:$AD$74,"&gt;0",Trades!$C$2:$C$74,IF($D$4="(All)","*",$D$4),Trades!$AE$2:$AE$74,IF($G$4="(All)","*",$G$4))/-SUMIFS(Trades!$AD$2:$AD$74,Trades!$P$2:$P$74,$A$26,Trades!$AD$2:$AD$74,"&lt;0",Trades!$C$2:$C$74,IF($D$4="(All)","*",$D$4),Trades!$AE$2:$AE$74,IF($G$4="(All)","*",$G$4)),"")</f>
        <v/>
      </c>
      <c r="I26" s="31">
        <f>IFERROR(AVERAGEIFS(Trades!$AH$2:$AH$74,Trades!$P$2:$P$74,$A$26,Trades!$C$2:$C$74,IF($D$4="(All)","*",$D$4),Trades!$AE$2:$AE$74,IF($G$4="(All)","*",$G$4)),"")</f>
        <v/>
      </c>
      <c r="J26" s="31">
        <f>IFERROR(AVERAGEIFS(Trades!$AI$2:$AI$74,Trades!$P$2:$P$74,$A$26,Trades!$C$2:$C$74,IF($D$4="(All)","*",$D$4),Trades!$AE$2:$AE$74,IF($G$4="(All)","*",$G$4)),"")</f>
        <v/>
      </c>
      <c r="K26" s="30">
        <f>IFERROR(AVERAGEIFS(Trades!$O$2:$O$74,Trades!$P$2:$P$74,$A$26,Trades!$C$2:$C$74,IF($D$4="(All)","*",$D$4),Trades!$AE$2:$AE$74,IF($G$4="(All)","*",$G$4)),"")</f>
        <v/>
      </c>
      <c r="L26" s="34">
        <f>IFERROR(E26/SUMIFS(Trades!$AD$2:$AD$74,Trades!$C$2:$C$74,IF($D$4="(All)","*",$D$4),Trades!$AE$2:$AE$74,IF($G$4="(All)","*",$G$4))*100,"")</f>
        <v/>
      </c>
    </row>
    <row r="27" ht="16" customHeight="1">
      <c r="A27" s="23" t="inlineStr">
        <is>
          <t>F. 1-4 h</t>
        </is>
      </c>
      <c r="B27" s="24">
        <f>COUNTIFS(Trades!$P$2:$P$74,$A$27,Trades!$C$2:$C$74,IF($D$4="(All)","*",$D$4),Trades!$AE$2:$AE$74,IF($G$4="(All)","*",$G$4))</f>
        <v/>
      </c>
      <c r="C27" s="24">
        <f>COUNTIFS(Trades!$AE$2:$AE$74,"Win",Trades!$P$2:$P$74,$A$27,Trades!$C$2:$C$74,IF($D$4="(All)","*",$D$4),Trades!$AE$2:$AE$74,IF($G$4="(All)","*",$G$4))</f>
        <v/>
      </c>
      <c r="D27" s="34">
        <f>IFERROR(C27/B27*100,"")</f>
        <v/>
      </c>
      <c r="E27" s="33">
        <f>SUMIFS(Trades!$AD$2:$AD$74,Trades!$P$2:$P$74,$A$27,Trades!$C$2:$C$74,IF($D$4="(All)","*",$D$4),Trades!$AE$2:$AE$74,IF($G$4="(All)","*",$G$4))</f>
        <v/>
      </c>
      <c r="F27" s="33">
        <f>IFERROR(E27/B27,"")</f>
        <v/>
      </c>
      <c r="G27" s="32">
        <f>IFERROR(AVERAGEIFS(Trades!$Z$2:$Z$74,Trades!$P$2:$P$74,$A$27,Trades!$C$2:$C$74,IF($D$4="(All)","*",$D$4),Trades!$AE$2:$AE$74,IF($G$4="(All)","*",$G$4)),"")</f>
        <v/>
      </c>
      <c r="H27" s="28">
        <f>IFERROR(SUMIFS(Trades!$AD$2:$AD$74,Trades!$P$2:$P$74,$A$27,Trades!$AD$2:$AD$74,"&gt;0",Trades!$C$2:$C$74,IF($D$4="(All)","*",$D$4),Trades!$AE$2:$AE$74,IF($G$4="(All)","*",$G$4))/-SUMIFS(Trades!$AD$2:$AD$74,Trades!$P$2:$P$74,$A$27,Trades!$AD$2:$AD$74,"&lt;0",Trades!$C$2:$C$74,IF($D$4="(All)","*",$D$4),Trades!$AE$2:$AE$74,IF($G$4="(All)","*",$G$4)),"")</f>
        <v/>
      </c>
      <c r="I27" s="31">
        <f>IFERROR(AVERAGEIFS(Trades!$AH$2:$AH$74,Trades!$P$2:$P$74,$A$27,Trades!$C$2:$C$74,IF($D$4="(All)","*",$D$4),Trades!$AE$2:$AE$74,IF($G$4="(All)","*",$G$4)),"")</f>
        <v/>
      </c>
      <c r="J27" s="31">
        <f>IFERROR(AVERAGEIFS(Trades!$AI$2:$AI$74,Trades!$P$2:$P$74,$A$27,Trades!$C$2:$C$74,IF($D$4="(All)","*",$D$4),Trades!$AE$2:$AE$74,IF($G$4="(All)","*",$G$4)),"")</f>
        <v/>
      </c>
      <c r="K27" s="30">
        <f>IFERROR(AVERAGEIFS(Trades!$O$2:$O$74,Trades!$P$2:$P$74,$A$27,Trades!$C$2:$C$74,IF($D$4="(All)","*",$D$4),Trades!$AE$2:$AE$74,IF($G$4="(All)","*",$G$4)),"")</f>
        <v/>
      </c>
      <c r="L27" s="34">
        <f>IFERROR(E27/SUMIFS(Trades!$AD$2:$AD$74,Trades!$C$2:$C$74,IF($D$4="(All)","*",$D$4),Trades!$AE$2:$AE$74,IF($G$4="(All)","*",$G$4))*100,"")</f>
        <v/>
      </c>
    </row>
    <row r="28">
      <c r="A28" s="40" t="inlineStr">
        <is>
          <t>All trades</t>
        </is>
      </c>
      <c r="B28" s="41">
        <f>COUNTIFS(Trades!$C$2:$C$74,IF($D$4="(All)","*",$D$4),Trades!$AE$2:$AE$74,IF($G$4="(All)","*",$G$4))</f>
        <v/>
      </c>
      <c r="C28" s="41">
        <f>COUNTIFS(Trades!$AE$2:$AE$74,"Win",Trades!$C$2:$C$74,IF($D$4="(All)","*",$D$4),Trades!$AE$2:$AE$74,IF($G$4="(All)","*",$G$4))</f>
        <v/>
      </c>
      <c r="D28" s="42">
        <f>IFERROR(C28/B28*100,"")</f>
        <v/>
      </c>
      <c r="E28" s="43">
        <f>SUMIFS(Trades!$AD$2:$AD$74,Trades!$C$2:$C$74,IF($D$4="(All)","*",$D$4),Trades!$AE$2:$AE$74,IF($G$4="(All)","*",$G$4))</f>
        <v/>
      </c>
      <c r="F28" s="43">
        <f>IFERROR(E28/B28,"")</f>
        <v/>
      </c>
      <c r="G28" s="44">
        <f>IFERROR(AVERAGEIFS(Trades!$Z$2:$Z$74,Trades!$C$2:$C$74,IF($D$4="(All)","*",$D$4),Trades!$AE$2:$AE$74,IF($G$4="(All)","*",$G$4)),"")</f>
        <v/>
      </c>
      <c r="H28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28" s="46">
        <f>IFERROR(AVERAGEIFS(Trades!$AH$2:$AH$74,Trades!$C$2:$C$74,IF($D$4="(All)","*",$D$4),Trades!$AE$2:$AE$74,IF($G$4="(All)","*",$G$4)),"")</f>
        <v/>
      </c>
      <c r="J28" s="46">
        <f>IFERROR(AVERAGEIFS(Trades!$AI$2:$AI$74,Trades!$C$2:$C$74,IF($D$4="(All)","*",$D$4),Trades!$AE$2:$AE$74,IF($G$4="(All)","*",$G$4)),"")</f>
        <v/>
      </c>
      <c r="K28" s="47">
        <f>IFERROR(AVERAGEIFS(Trades!$O$2:$O$74,Trades!$C$2:$C$74,IF($D$4="(All)","*",$D$4),Trades!$AE$2:$AE$74,IF($G$4="(All)","*",$G$4)),"")</f>
        <v/>
      </c>
      <c r="L28" s="42">
        <f>IFERROR(E28/SUMIFS(Trades!$AD$2:$AD$74,Trades!$C$2:$C$74,IF($D$4="(All)","*",$D$4),Trades!$AE$2:$AE$74,IF($G$4="(All)","*",$G$4))*100,"")</f>
        <v/>
      </c>
    </row>
    <row r="31">
      <c r="A31" s="4" t="inlineStr">
        <is>
          <t>By mfe first</t>
        </is>
      </c>
      <c r="E31" s="39" t="inlineStr">
        <is>
          <t>Did price go the trader's way before it went against? The 'No' row is trades that were wrong from the first tick.</t>
        </is>
      </c>
    </row>
    <row r="32" ht="28" customHeight="1">
      <c r="A32" s="22" t="inlineStr">
        <is>
          <t>MFE first</t>
        </is>
      </c>
      <c r="B32" s="22" t="inlineStr">
        <is>
          <t>Trades</t>
        </is>
      </c>
      <c r="C32" s="22" t="inlineStr">
        <is>
          <t>Wins</t>
        </is>
      </c>
      <c r="D32" s="22" t="inlineStr">
        <is>
          <t>Win %</t>
        </is>
      </c>
      <c r="E32" s="22" t="inlineStr">
        <is>
          <t>Net</t>
        </is>
      </c>
      <c r="F32" s="22" t="inlineStr">
        <is>
          <t>Expectancy</t>
        </is>
      </c>
      <c r="G32" s="22" t="inlineStr">
        <is>
          <t>Avg R</t>
        </is>
      </c>
      <c r="H32" s="22" t="inlineStr">
        <is>
          <t>Profit factor</t>
        </is>
      </c>
      <c r="I32" s="22" t="inlineStr">
        <is>
          <t>Avg MFE</t>
        </is>
      </c>
      <c r="J32" s="22" t="inlineStr">
        <is>
          <t>Avg MAE</t>
        </is>
      </c>
      <c r="K32" s="22" t="inlineStr">
        <is>
          <t>Avg dur (min)</t>
        </is>
      </c>
      <c r="L32" s="22" t="inlineStr">
        <is>
          <t>Share of net</t>
        </is>
      </c>
    </row>
    <row r="33" ht="16" customHeight="1">
      <c r="A33" s="23" t="inlineStr">
        <is>
          <t>No</t>
        </is>
      </c>
      <c r="B33" s="24">
        <f>COUNTIFS(Trades!$AV$2:$AV$74,$A$33,Trades!$C$2:$C$74,IF($D$4="(All)","*",$D$4),Trades!$AE$2:$AE$74,IF($G$4="(All)","*",$G$4))</f>
        <v/>
      </c>
      <c r="C33" s="24">
        <f>COUNTIFS(Trades!$AE$2:$AE$74,"Win",Trades!$AV$2:$AV$74,$A$33,Trades!$C$2:$C$74,IF($D$4="(All)","*",$D$4),Trades!$AE$2:$AE$74,IF($G$4="(All)","*",$G$4))</f>
        <v/>
      </c>
      <c r="D33" s="34">
        <f>IFERROR(C33/B33*100,"")</f>
        <v/>
      </c>
      <c r="E33" s="33">
        <f>SUMIFS(Trades!$AD$2:$AD$74,Trades!$AV$2:$AV$74,$A$33,Trades!$C$2:$C$74,IF($D$4="(All)","*",$D$4),Trades!$AE$2:$AE$74,IF($G$4="(All)","*",$G$4))</f>
        <v/>
      </c>
      <c r="F33" s="33">
        <f>IFERROR(E33/B33,"")</f>
        <v/>
      </c>
      <c r="G33" s="32">
        <f>IFERROR(AVERAGEIFS(Trades!$Z$2:$Z$74,Trades!$AV$2:$AV$74,$A$33,Trades!$C$2:$C$74,IF($D$4="(All)","*",$D$4),Trades!$AE$2:$AE$74,IF($G$4="(All)","*",$G$4)),"")</f>
        <v/>
      </c>
      <c r="H33" s="28">
        <f>IFERROR(SUMIFS(Trades!$AD$2:$AD$74,Trades!$AV$2:$AV$74,$A$33,Trades!$AD$2:$AD$74,"&gt;0",Trades!$C$2:$C$74,IF($D$4="(All)","*",$D$4),Trades!$AE$2:$AE$74,IF($G$4="(All)","*",$G$4))/-SUMIFS(Trades!$AD$2:$AD$74,Trades!$AV$2:$AV$74,$A$33,Trades!$AD$2:$AD$74,"&lt;0",Trades!$C$2:$C$74,IF($D$4="(All)","*",$D$4),Trades!$AE$2:$AE$74,IF($G$4="(All)","*",$G$4)),"")</f>
        <v/>
      </c>
      <c r="I33" s="31">
        <f>IFERROR(AVERAGEIFS(Trades!$AH$2:$AH$74,Trades!$AV$2:$AV$74,$A$33,Trades!$C$2:$C$74,IF($D$4="(All)","*",$D$4),Trades!$AE$2:$AE$74,IF($G$4="(All)","*",$G$4)),"")</f>
        <v/>
      </c>
      <c r="J33" s="31">
        <f>IFERROR(AVERAGEIFS(Trades!$AI$2:$AI$74,Trades!$AV$2:$AV$74,$A$33,Trades!$C$2:$C$74,IF($D$4="(All)","*",$D$4),Trades!$AE$2:$AE$74,IF($G$4="(All)","*",$G$4)),"")</f>
        <v/>
      </c>
      <c r="K33" s="30">
        <f>IFERROR(AVERAGEIFS(Trades!$O$2:$O$74,Trades!$AV$2:$AV$74,$A$33,Trades!$C$2:$C$74,IF($D$4="(All)","*",$D$4),Trades!$AE$2:$AE$74,IF($G$4="(All)","*",$G$4)),"")</f>
        <v/>
      </c>
      <c r="L33" s="34">
        <f>IFERROR(E33/SUMIFS(Trades!$AD$2:$AD$74,Trades!$C$2:$C$74,IF($D$4="(All)","*",$D$4),Trades!$AE$2:$AE$74,IF($G$4="(All)","*",$G$4))*100,"")</f>
        <v/>
      </c>
    </row>
    <row r="34" ht="16" customHeight="1">
      <c r="A34" s="23" t="inlineStr">
        <is>
          <t>Yes</t>
        </is>
      </c>
      <c r="B34" s="24">
        <f>COUNTIFS(Trades!$AV$2:$AV$74,$A$34,Trades!$C$2:$C$74,IF($D$4="(All)","*",$D$4),Trades!$AE$2:$AE$74,IF($G$4="(All)","*",$G$4))</f>
        <v/>
      </c>
      <c r="C34" s="24">
        <f>COUNTIFS(Trades!$AE$2:$AE$74,"Win",Trades!$AV$2:$AV$74,$A$34,Trades!$C$2:$C$74,IF($D$4="(All)","*",$D$4),Trades!$AE$2:$AE$74,IF($G$4="(All)","*",$G$4))</f>
        <v/>
      </c>
      <c r="D34" s="34">
        <f>IFERROR(C34/B34*100,"")</f>
        <v/>
      </c>
      <c r="E34" s="33">
        <f>SUMIFS(Trades!$AD$2:$AD$74,Trades!$AV$2:$AV$74,$A$34,Trades!$C$2:$C$74,IF($D$4="(All)","*",$D$4),Trades!$AE$2:$AE$74,IF($G$4="(All)","*",$G$4))</f>
        <v/>
      </c>
      <c r="F34" s="33">
        <f>IFERROR(E34/B34,"")</f>
        <v/>
      </c>
      <c r="G34" s="32">
        <f>IFERROR(AVERAGEIFS(Trades!$Z$2:$Z$74,Trades!$AV$2:$AV$74,$A$34,Trades!$C$2:$C$74,IF($D$4="(All)","*",$D$4),Trades!$AE$2:$AE$74,IF($G$4="(All)","*",$G$4)),"")</f>
        <v/>
      </c>
      <c r="H34" s="28">
        <f>IFERROR(SUMIFS(Trades!$AD$2:$AD$74,Trades!$AV$2:$AV$74,$A$34,Trades!$AD$2:$AD$74,"&gt;0",Trades!$C$2:$C$74,IF($D$4="(All)","*",$D$4),Trades!$AE$2:$AE$74,IF($G$4="(All)","*",$G$4))/-SUMIFS(Trades!$AD$2:$AD$74,Trades!$AV$2:$AV$74,$A$34,Trades!$AD$2:$AD$74,"&lt;0",Trades!$C$2:$C$74,IF($D$4="(All)","*",$D$4),Trades!$AE$2:$AE$74,IF($G$4="(All)","*",$G$4)),"")</f>
        <v/>
      </c>
      <c r="I34" s="31">
        <f>IFERROR(AVERAGEIFS(Trades!$AH$2:$AH$74,Trades!$AV$2:$AV$74,$A$34,Trades!$C$2:$C$74,IF($D$4="(All)","*",$D$4),Trades!$AE$2:$AE$74,IF($G$4="(All)","*",$G$4)),"")</f>
        <v/>
      </c>
      <c r="J34" s="31">
        <f>IFERROR(AVERAGEIFS(Trades!$AI$2:$AI$74,Trades!$AV$2:$AV$74,$A$34,Trades!$C$2:$C$74,IF($D$4="(All)","*",$D$4),Trades!$AE$2:$AE$74,IF($G$4="(All)","*",$G$4)),"")</f>
        <v/>
      </c>
      <c r="K34" s="30">
        <f>IFERROR(AVERAGEIFS(Trades!$O$2:$O$74,Trades!$AV$2:$AV$74,$A$34,Trades!$C$2:$C$74,IF($D$4="(All)","*",$D$4),Trades!$AE$2:$AE$74,IF($G$4="(All)","*",$G$4)),"")</f>
        <v/>
      </c>
      <c r="L34" s="34">
        <f>IFERROR(E34/SUMIFS(Trades!$AD$2:$AD$74,Trades!$C$2:$C$74,IF($D$4="(All)","*",$D$4),Trades!$AE$2:$AE$74,IF($G$4="(All)","*",$G$4))*100,"")</f>
        <v/>
      </c>
    </row>
    <row r="35">
      <c r="A35" s="40" t="inlineStr">
        <is>
          <t>All trades</t>
        </is>
      </c>
      <c r="B35" s="41">
        <f>COUNTIFS(Trades!$C$2:$C$74,IF($D$4="(All)","*",$D$4),Trades!$AE$2:$AE$74,IF($G$4="(All)","*",$G$4))</f>
        <v/>
      </c>
      <c r="C35" s="41">
        <f>COUNTIFS(Trades!$AE$2:$AE$74,"Win",Trades!$C$2:$C$74,IF($D$4="(All)","*",$D$4),Trades!$AE$2:$AE$74,IF($G$4="(All)","*",$G$4))</f>
        <v/>
      </c>
      <c r="D35" s="42">
        <f>IFERROR(C35/B35*100,"")</f>
        <v/>
      </c>
      <c r="E35" s="43">
        <f>SUMIFS(Trades!$AD$2:$AD$74,Trades!$C$2:$C$74,IF($D$4="(All)","*",$D$4),Trades!$AE$2:$AE$74,IF($G$4="(All)","*",$G$4))</f>
        <v/>
      </c>
      <c r="F35" s="43">
        <f>IFERROR(E35/B35,"")</f>
        <v/>
      </c>
      <c r="G35" s="44">
        <f>IFERROR(AVERAGEIFS(Trades!$Z$2:$Z$74,Trades!$C$2:$C$74,IF($D$4="(All)","*",$D$4),Trades!$AE$2:$AE$74,IF($G$4="(All)","*",$G$4)),"")</f>
        <v/>
      </c>
      <c r="H35" s="45">
        <f>IFERROR(SUMIFS(Trades!$AD$2:$AD$74,Trades!$AD$2:$AD$74,"&gt;0",Trades!$C$2:$C$74,IF($D$4="(All)","*",$D$4),Trades!$AE$2:$AE$74,IF($G$4="(All)","*",$G$4))/-SUMIFS(Trades!$AD$2:$AD$74,Trades!$AD$2:$AD$74,"&lt;0",Trades!$C$2:$C$74,IF($D$4="(All)","*",$D$4),Trades!$AE$2:$AE$74,IF($G$4="(All)","*",$G$4)),"")</f>
        <v/>
      </c>
      <c r="I35" s="46">
        <f>IFERROR(AVERAGEIFS(Trades!$AH$2:$AH$74,Trades!$C$2:$C$74,IF($D$4="(All)","*",$D$4),Trades!$AE$2:$AE$74,IF($G$4="(All)","*",$G$4)),"")</f>
        <v/>
      </c>
      <c r="J35" s="46">
        <f>IFERROR(AVERAGEIFS(Trades!$AI$2:$AI$74,Trades!$C$2:$C$74,IF($D$4="(All)","*",$D$4),Trades!$AE$2:$AE$74,IF($G$4="(All)","*",$G$4)),"")</f>
        <v/>
      </c>
      <c r="K35" s="47">
        <f>IFERROR(AVERAGEIFS(Trades!$O$2:$O$74,Trades!$C$2:$C$74,IF($D$4="(All)","*",$D$4),Trades!$AE$2:$AE$74,IF($G$4="(All)","*",$G$4)),"")</f>
        <v/>
      </c>
      <c r="L35" s="42">
        <f>IFERROR(E35/SUMIFS(Trades!$AD$2:$AD$74,Trades!$C$2:$C$74,IF($D$4="(All)","*",$D$4),Trades!$AE$2:$AE$74,IF($G$4="(All)","*",$G$4))*100,"")</f>
        <v/>
      </c>
    </row>
  </sheetData>
  <mergeCells count="2">
    <mergeCell ref="A2:L2"/>
    <mergeCell ref="A1:L1"/>
  </mergeCells>
  <conditionalFormatting sqref="E8:E16">
    <cfRule type="cellIs" priority="1" operator="greaterThan" dxfId="5">
      <formula>0</formula>
    </cfRule>
    <cfRule type="cellIs" priority="2" operator="lessThan" dxfId="6">
      <formula>0</formula>
    </cfRule>
  </conditionalFormatting>
  <conditionalFormatting sqref="B8:B16">
    <cfRule type="dataBar" priority="3">
      <dataBar showValue="1">
        <cfvo type="num" val="0"/>
        <cfvo type="max"/>
        <color rgb="00DBEAFE"/>
      </dataBar>
    </cfRule>
  </conditionalFormatting>
  <conditionalFormatting sqref="E22:E27">
    <cfRule type="cellIs" priority="4" operator="greaterThan" dxfId="5">
      <formula>0</formula>
    </cfRule>
    <cfRule type="cellIs" priority="5" operator="lessThan" dxfId="6">
      <formula>0</formula>
    </cfRule>
  </conditionalFormatting>
  <conditionalFormatting sqref="B22:B27">
    <cfRule type="dataBar" priority="6">
      <dataBar showValue="1">
        <cfvo type="num" val="0"/>
        <cfvo type="max"/>
        <color rgb="00DBEAFE"/>
      </dataBar>
    </cfRule>
  </conditionalFormatting>
  <conditionalFormatting sqref="E33:E34">
    <cfRule type="cellIs" priority="7" operator="greaterThan" dxfId="5">
      <formula>0</formula>
    </cfRule>
    <cfRule type="cellIs" priority="8" operator="lessThan" dxfId="6">
      <formula>0</formula>
    </cfRule>
  </conditionalFormatting>
  <conditionalFormatting sqref="B33:B34">
    <cfRule type="dataBar" priority="9">
      <dataBar showValue="1">
        <cfvo type="num" val="0"/>
        <cfvo type="max"/>
        <color rgb="00DBEAFE"/>
      </dataBar>
    </cfRule>
  </conditionalFormatting>
  <dataValidations count="2">
    <dataValidation sqref="D4" showDropDown="0" showInputMessage="0" showErrorMessage="0" allowBlank="0" type="list">
      <formula1>"(All),DAXEUR,DJIUSD,NDXUSD,NIKJPY,XAUUSD"</formula1>
    </dataValidation>
    <dataValidation sqref="G4" showDropDown="0" showInputMessage="0" showErrorMessage="0" allowBlank="0" type="list">
      <formula1>"(All),Win,Loss,Breakeven"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3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8" customWidth="1" min="3" max="3"/>
    <col width="9" customWidth="1" min="4" max="4"/>
    <col width="12" customWidth="1" min="5" max="5"/>
    <col width="11" customWidth="1" min="6" max="6"/>
    <col width="9" customWidth="1" min="7" max="7"/>
    <col width="12" customWidth="1" min="8" max="8"/>
    <col width="10" customWidth="1" min="9" max="9"/>
    <col width="10" customWidth="1" min="10" max="10"/>
    <col width="13" customWidth="1" min="11" max="11"/>
    <col width="12" customWidth="1" min="12" max="12"/>
  </cols>
  <sheetData>
    <row r="1" ht="34" customHeight="1">
      <c r="A1" s="1" t="inlineStr">
        <is>
          <t>Excursions — MAE, MFE and what happened in between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Maximum adverse and favourable excursion measured tick by tick where the history allowed it, from M1 bars otherwise. The source is recorded per trade on the Trades sheet.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4" t="inlineStr">
        <is>
          <t>Headline</t>
        </is>
      </c>
    </row>
    <row r="5" ht="16" customHeight="1">
      <c r="A5" s="23" t="inlineStr">
        <is>
          <t>Average MFE</t>
        </is>
      </c>
      <c r="D5" s="48" t="n">
        <v>8.68</v>
      </c>
      <c r="F5" s="39" t="inlineStr">
        <is>
          <t>How much the average trade was up at its best point.</t>
        </is>
      </c>
    </row>
    <row r="6" ht="16" customHeight="1">
      <c r="A6" s="23" t="inlineStr">
        <is>
          <t>Average MAE</t>
        </is>
      </c>
      <c r="D6" s="49" t="n">
        <v>-5.76</v>
      </c>
      <c r="F6" s="39" t="inlineStr">
        <is>
          <t>How far the average trade went against the entry before resolving.</t>
        </is>
      </c>
    </row>
    <row r="7" ht="16" customHeight="1">
      <c r="A7" s="23" t="inlineStr">
        <is>
          <t>Average MAE on winners</t>
        </is>
      </c>
      <c r="D7" s="50" t="n">
        <v>-3.55</v>
      </c>
      <c r="F7" s="39" t="inlineStr">
        <is>
          <t>Heat a winning trade takes. If this is far inside the average risk, the stops are wider than the trades need.</t>
        </is>
      </c>
    </row>
    <row r="8" ht="16" customHeight="1">
      <c r="A8" s="23" t="inlineStr">
        <is>
          <t>Average MFE on losers</t>
        </is>
      </c>
      <c r="D8" s="50" t="n">
        <v>4.23</v>
      </c>
      <c r="F8" s="39" t="inlineStr">
        <is>
          <t>Money that was on the table in trades that finished red.</t>
        </is>
      </c>
    </row>
    <row r="9" ht="16" customHeight="1">
      <c r="A9" s="23" t="inlineStr">
        <is>
          <t>Median heat</t>
        </is>
      </c>
      <c r="D9" s="51" t="n">
        <v>101.5</v>
      </c>
      <c r="F9" s="39" t="inlineStr">
        <is>
          <t>MAE as a share of the risk taken. Above 100% means the trade went further against the entry than the stop it was risking.</t>
        </is>
      </c>
    </row>
    <row r="10" ht="16" customHeight="1">
      <c r="A10" s="23" t="inlineStr">
        <is>
          <t>90th percentile heat</t>
        </is>
      </c>
      <c r="D10" s="51" t="n">
        <v>167</v>
      </c>
      <c r="F10" s="39" t="inlineStr">
        <is>
          <t>One trade in ten runs at least this hot.</t>
        </is>
      </c>
    </row>
    <row r="11" ht="16" customHeight="1">
      <c r="A11" s="23" t="inlineStr">
        <is>
          <t>Capture on winners</t>
        </is>
      </c>
      <c r="D11" s="52" t="n">
        <v>0.9330000000000001</v>
      </c>
      <c r="F11" s="39" t="inlineStr">
        <is>
          <t>Money kept divided by money offered, across all winners. 1.00 would be exiting every winner at its exact high.</t>
        </is>
      </c>
    </row>
    <row r="12" ht="16" customHeight="1">
      <c r="A12" s="23" t="inlineStr">
        <is>
          <t>Median winner capture</t>
        </is>
      </c>
      <c r="D12" s="52" t="n">
        <v>0.988</v>
      </c>
      <c r="F12" s="39" t="inlineStr">
        <is>
          <t>The typical winner, unweighted by size.</t>
        </is>
      </c>
    </row>
    <row r="13" ht="16" customHeight="1">
      <c r="A13" s="23" t="inlineStr">
        <is>
          <t>Total giveback</t>
        </is>
      </c>
      <c r="D13" s="53" t="n">
        <v>501.56</v>
      </c>
      <c r="F13" s="39" t="inlineStr">
        <is>
          <t>Sum of the gap between each trade's best point and where it closed.</t>
        </is>
      </c>
    </row>
    <row r="14" ht="16" customHeight="1">
      <c r="A14" s="23" t="inlineStr">
        <is>
          <t>Losers that were up 0.5R or more</t>
        </is>
      </c>
      <c r="D14" s="54" t="n">
        <v>25</v>
      </c>
      <c r="F14" s="39" t="inlineStr">
        <is>
          <t>51.0% of all losing trades. The threshold exists on purpose: measured on ticks almost every trade shows a fractionally positive MFE, and counting those would turn noise into a finding.</t>
        </is>
      </c>
    </row>
    <row r="15" ht="16" customHeight="1">
      <c r="A15" s="23" t="inlineStr">
        <is>
          <t>Trades with excursion data</t>
        </is>
      </c>
      <c r="D15" s="55" t="n">
        <v>73</v>
      </c>
      <c r="F15" s="39" t="inlineStr">
        <is>
          <t>out of 73 closed trades.</t>
        </is>
      </c>
    </row>
    <row r="18">
      <c r="A18" s="4" t="inlineStr">
        <is>
          <t>Efficiency (Sweeney)</t>
        </is>
      </c>
      <c r="F18" s="39" t="inlineStr">
        <is>
          <t>Share of the trade's own high-to-low range that the entry, the exit and the trade as a whole captured. 1.00 is perfect, 0.50 is a coin flip against the range that was available.</t>
        </is>
      </c>
    </row>
    <row r="19">
      <c r="A19" s="23" t="inlineStr">
        <is>
          <t>Entry efficiency</t>
        </is>
      </c>
      <c r="D19" s="52">
        <f>IFERROR(AVERAGE(Trades!$AS$2:$AS$74),"")</f>
        <v/>
      </c>
      <c r="F19" s="39" t="inlineStr">
        <is>
          <t>Average across all closed trades, from column AS of the Trades sheet.</t>
        </is>
      </c>
    </row>
    <row r="20">
      <c r="A20" s="23" t="inlineStr">
        <is>
          <t>Exit efficiency</t>
        </is>
      </c>
      <c r="D20" s="52">
        <f>IFERROR(AVERAGE(Trades!$AT$2:$AT$74),"")</f>
        <v/>
      </c>
      <c r="F20" s="39" t="inlineStr">
        <is>
          <t>Average across all closed trades, from column AT of the Trades sheet.</t>
        </is>
      </c>
    </row>
    <row r="21">
      <c r="A21" s="23" t="inlineStr">
        <is>
          <t>Total efficiency</t>
        </is>
      </c>
      <c r="D21" s="52">
        <f>IFERROR(AVERAGE(Trades!$AU$2:$AU$74),"")</f>
        <v/>
      </c>
      <c r="F21" s="39" t="inlineStr">
        <is>
          <t>Average across all closed trades, from column AU of the Trades sheet.</t>
        </is>
      </c>
    </row>
    <row r="24">
      <c r="A24" s="4" t="inlineStr">
        <is>
          <t>Filters</t>
        </is>
      </c>
      <c r="C24" s="37" t="inlineStr">
        <is>
          <t>Symbol</t>
        </is>
      </c>
      <c r="D24" s="38" t="inlineStr">
        <is>
          <t>(All)</t>
        </is>
      </c>
      <c r="F24" s="37" t="inlineStr">
        <is>
          <t>Outcome</t>
        </is>
      </c>
      <c r="G24" s="38" t="inlineStr">
        <is>
          <t>(All)</t>
        </is>
      </c>
      <c r="I24" s="39" t="inlineStr">
        <is>
          <t>Change either dropdown - every grid below recalculates.</t>
        </is>
      </c>
    </row>
    <row r="26">
      <c r="A26" s="4" t="inlineStr">
        <is>
          <t>Excursion by exit reason</t>
        </is>
      </c>
      <c r="E26" s="39" t="inlineStr">
        <is>
          <t>Compare Avg MFE against Avg MAE row by row: a reason whose MFE dwarfs its net is an exit problem, not an entry problem.</t>
        </is>
      </c>
    </row>
    <row r="27" ht="28" customHeight="1">
      <c r="A27" s="22" t="inlineStr">
        <is>
          <t>Exit reason</t>
        </is>
      </c>
      <c r="B27" s="22" t="inlineStr">
        <is>
          <t>Trades</t>
        </is>
      </c>
      <c r="C27" s="22" t="inlineStr">
        <is>
          <t>Wins</t>
        </is>
      </c>
      <c r="D27" s="22" t="inlineStr">
        <is>
          <t>Win %</t>
        </is>
      </c>
      <c r="E27" s="22" t="inlineStr">
        <is>
          <t>Net</t>
        </is>
      </c>
      <c r="F27" s="22" t="inlineStr">
        <is>
          <t>Expectancy</t>
        </is>
      </c>
      <c r="G27" s="22" t="inlineStr">
        <is>
          <t>Avg R</t>
        </is>
      </c>
      <c r="H27" s="22" t="inlineStr">
        <is>
          <t>Profit factor</t>
        </is>
      </c>
      <c r="I27" s="22" t="inlineStr">
        <is>
          <t>Avg MFE</t>
        </is>
      </c>
      <c r="J27" s="22" t="inlineStr">
        <is>
          <t>Avg MAE</t>
        </is>
      </c>
      <c r="K27" s="22" t="inlineStr">
        <is>
          <t>Avg dur (min)</t>
        </is>
      </c>
      <c r="L27" s="22" t="inlineStr">
        <is>
          <t>Share of net</t>
        </is>
      </c>
    </row>
    <row r="28" ht="16" customHeight="1">
      <c r="A28" s="23" t="inlineStr">
        <is>
          <t>Expert</t>
        </is>
      </c>
      <c r="B28" s="24">
        <f>COUNTIFS(Trades!$AF$2:$AF$74,$A$28,Trades!$C$2:$C$74,IF($D$24="(All)","*",$D$24),Trades!$AE$2:$AE$74,IF($G$24="(All)","*",$G$24))</f>
        <v/>
      </c>
      <c r="C28" s="24">
        <f>COUNTIFS(Trades!$AE$2:$AE$74,"Win",Trades!$AF$2:$AF$74,$A$28,Trades!$C$2:$C$74,IF($D$24="(All)","*",$D$24),Trades!$AE$2:$AE$74,IF($G$24="(All)","*",$G$24))</f>
        <v/>
      </c>
      <c r="D28" s="34">
        <f>IFERROR(C28/B28*100,"")</f>
        <v/>
      </c>
      <c r="E28" s="33">
        <f>SUMIFS(Trades!$AD$2:$AD$74,Trades!$AF$2:$AF$74,$A$28,Trades!$C$2:$C$74,IF($D$24="(All)","*",$D$24),Trades!$AE$2:$AE$74,IF($G$24="(All)","*",$G$24))</f>
        <v/>
      </c>
      <c r="F28" s="33">
        <f>IFERROR(E28/B28,"")</f>
        <v/>
      </c>
      <c r="G28" s="32">
        <f>IFERROR(AVERAGEIFS(Trades!$Z$2:$Z$74,Trades!$AF$2:$AF$74,$A$28,Trades!$C$2:$C$74,IF($D$24="(All)","*",$D$24),Trades!$AE$2:$AE$74,IF($G$24="(All)","*",$G$24)),"")</f>
        <v/>
      </c>
      <c r="H28" s="28">
        <f>IFERROR(SUMIFS(Trades!$AD$2:$AD$74,Trades!$AF$2:$AF$74,$A$28,Trades!$AD$2:$AD$74,"&gt;0",Trades!$C$2:$C$74,IF($D$24="(All)","*",$D$24),Trades!$AE$2:$AE$74,IF($G$24="(All)","*",$G$24))/-SUMIFS(Trades!$AD$2:$AD$74,Trades!$AF$2:$AF$74,$A$28,Trades!$AD$2:$AD$74,"&lt;0",Trades!$C$2:$C$74,IF($D$24="(All)","*",$D$24),Trades!$AE$2:$AE$74,IF($G$24="(All)","*",$G$24)),"")</f>
        <v/>
      </c>
      <c r="I28" s="31">
        <f>IFERROR(AVERAGEIFS(Trades!$AH$2:$AH$74,Trades!$AF$2:$AF$74,$A$28,Trades!$C$2:$C$74,IF($D$24="(All)","*",$D$24),Trades!$AE$2:$AE$74,IF($G$24="(All)","*",$G$24)),"")</f>
        <v/>
      </c>
      <c r="J28" s="31">
        <f>IFERROR(AVERAGEIFS(Trades!$AI$2:$AI$74,Trades!$AF$2:$AF$74,$A$28,Trades!$C$2:$C$74,IF($D$24="(All)","*",$D$24),Trades!$AE$2:$AE$74,IF($G$24="(All)","*",$G$24)),"")</f>
        <v/>
      </c>
      <c r="K28" s="30">
        <f>IFERROR(AVERAGEIFS(Trades!$O$2:$O$74,Trades!$AF$2:$AF$74,$A$28,Trades!$C$2:$C$74,IF($D$24="(All)","*",$D$24),Trades!$AE$2:$AE$74,IF($G$24="(All)","*",$G$24)),"")</f>
        <v/>
      </c>
      <c r="L28" s="34">
        <f>IFERROR(E28/SUMIFS(Trades!$AD$2:$AD$74,Trades!$C$2:$C$74,IF($D$24="(All)","*",$D$24),Trades!$AE$2:$AE$74,IF($G$24="(All)","*",$G$24))*100,"")</f>
        <v/>
      </c>
    </row>
    <row r="29" ht="16" customHeight="1">
      <c r="A29" s="23" t="inlineStr">
        <is>
          <t>Stop Loss</t>
        </is>
      </c>
      <c r="B29" s="24">
        <f>COUNTIFS(Trades!$AF$2:$AF$74,$A$29,Trades!$C$2:$C$74,IF($D$24="(All)","*",$D$24),Trades!$AE$2:$AE$74,IF($G$24="(All)","*",$G$24))</f>
        <v/>
      </c>
      <c r="C29" s="24">
        <f>COUNTIFS(Trades!$AE$2:$AE$74,"Win",Trades!$AF$2:$AF$74,$A$29,Trades!$C$2:$C$74,IF($D$24="(All)","*",$D$24),Trades!$AE$2:$AE$74,IF($G$24="(All)","*",$G$24))</f>
        <v/>
      </c>
      <c r="D29" s="34">
        <f>IFERROR(C29/B29*100,"")</f>
        <v/>
      </c>
      <c r="E29" s="33">
        <f>SUMIFS(Trades!$AD$2:$AD$74,Trades!$AF$2:$AF$74,$A$29,Trades!$C$2:$C$74,IF($D$24="(All)","*",$D$24),Trades!$AE$2:$AE$74,IF($G$24="(All)","*",$G$24))</f>
        <v/>
      </c>
      <c r="F29" s="33">
        <f>IFERROR(E29/B29,"")</f>
        <v/>
      </c>
      <c r="G29" s="32">
        <f>IFERROR(AVERAGEIFS(Trades!$Z$2:$Z$74,Trades!$AF$2:$AF$74,$A$29,Trades!$C$2:$C$74,IF($D$24="(All)","*",$D$24),Trades!$AE$2:$AE$74,IF($G$24="(All)","*",$G$24)),"")</f>
        <v/>
      </c>
      <c r="H29" s="28">
        <f>IFERROR(SUMIFS(Trades!$AD$2:$AD$74,Trades!$AF$2:$AF$74,$A$29,Trades!$AD$2:$AD$74,"&gt;0",Trades!$C$2:$C$74,IF($D$24="(All)","*",$D$24),Trades!$AE$2:$AE$74,IF($G$24="(All)","*",$G$24))/-SUMIFS(Trades!$AD$2:$AD$74,Trades!$AF$2:$AF$74,$A$29,Trades!$AD$2:$AD$74,"&lt;0",Trades!$C$2:$C$74,IF($D$24="(All)","*",$D$24),Trades!$AE$2:$AE$74,IF($G$24="(All)","*",$G$24)),"")</f>
        <v/>
      </c>
      <c r="I29" s="31">
        <f>IFERROR(AVERAGEIFS(Trades!$AH$2:$AH$74,Trades!$AF$2:$AF$74,$A$29,Trades!$C$2:$C$74,IF($D$24="(All)","*",$D$24),Trades!$AE$2:$AE$74,IF($G$24="(All)","*",$G$24)),"")</f>
        <v/>
      </c>
      <c r="J29" s="31">
        <f>IFERROR(AVERAGEIFS(Trades!$AI$2:$AI$74,Trades!$AF$2:$AF$74,$A$29,Trades!$C$2:$C$74,IF($D$24="(All)","*",$D$24),Trades!$AE$2:$AE$74,IF($G$24="(All)","*",$G$24)),"")</f>
        <v/>
      </c>
      <c r="K29" s="30">
        <f>IFERROR(AVERAGEIFS(Trades!$O$2:$O$74,Trades!$AF$2:$AF$74,$A$29,Trades!$C$2:$C$74,IF($D$24="(All)","*",$D$24),Trades!$AE$2:$AE$74,IF($G$24="(All)","*",$G$24)),"")</f>
        <v/>
      </c>
      <c r="L29" s="34">
        <f>IFERROR(E29/SUMIFS(Trades!$AD$2:$AD$74,Trades!$C$2:$C$74,IF($D$24="(All)","*",$D$24),Trades!$AE$2:$AE$74,IF($G$24="(All)","*",$G$24))*100,"")</f>
        <v/>
      </c>
    </row>
    <row r="30" ht="16" customHeight="1">
      <c r="A30" s="23" t="inlineStr">
        <is>
          <t>Take Profit</t>
        </is>
      </c>
      <c r="B30" s="24">
        <f>COUNTIFS(Trades!$AF$2:$AF$74,$A$30,Trades!$C$2:$C$74,IF($D$24="(All)","*",$D$24),Trades!$AE$2:$AE$74,IF($G$24="(All)","*",$G$24))</f>
        <v/>
      </c>
      <c r="C30" s="24">
        <f>COUNTIFS(Trades!$AE$2:$AE$74,"Win",Trades!$AF$2:$AF$74,$A$30,Trades!$C$2:$C$74,IF($D$24="(All)","*",$D$24),Trades!$AE$2:$AE$74,IF($G$24="(All)","*",$G$24))</f>
        <v/>
      </c>
      <c r="D30" s="34">
        <f>IFERROR(C30/B30*100,"")</f>
        <v/>
      </c>
      <c r="E30" s="33">
        <f>SUMIFS(Trades!$AD$2:$AD$74,Trades!$AF$2:$AF$74,$A$30,Trades!$C$2:$C$74,IF($D$24="(All)","*",$D$24),Trades!$AE$2:$AE$74,IF($G$24="(All)","*",$G$24))</f>
        <v/>
      </c>
      <c r="F30" s="33">
        <f>IFERROR(E30/B30,"")</f>
        <v/>
      </c>
      <c r="G30" s="32">
        <f>IFERROR(AVERAGEIFS(Trades!$Z$2:$Z$74,Trades!$AF$2:$AF$74,$A$30,Trades!$C$2:$C$74,IF($D$24="(All)","*",$D$24),Trades!$AE$2:$AE$74,IF($G$24="(All)","*",$G$24)),"")</f>
        <v/>
      </c>
      <c r="H30" s="28">
        <f>IFERROR(SUMIFS(Trades!$AD$2:$AD$74,Trades!$AF$2:$AF$74,$A$30,Trades!$AD$2:$AD$74,"&gt;0",Trades!$C$2:$C$74,IF($D$24="(All)","*",$D$24),Trades!$AE$2:$AE$74,IF($G$24="(All)","*",$G$24))/-SUMIFS(Trades!$AD$2:$AD$74,Trades!$AF$2:$AF$74,$A$30,Trades!$AD$2:$AD$74,"&lt;0",Trades!$C$2:$C$74,IF($D$24="(All)","*",$D$24),Trades!$AE$2:$AE$74,IF($G$24="(All)","*",$G$24)),"")</f>
        <v/>
      </c>
      <c r="I30" s="31">
        <f>IFERROR(AVERAGEIFS(Trades!$AH$2:$AH$74,Trades!$AF$2:$AF$74,$A$30,Trades!$C$2:$C$74,IF($D$24="(All)","*",$D$24),Trades!$AE$2:$AE$74,IF($G$24="(All)","*",$G$24)),"")</f>
        <v/>
      </c>
      <c r="J30" s="31">
        <f>IFERROR(AVERAGEIFS(Trades!$AI$2:$AI$74,Trades!$AF$2:$AF$74,$A$30,Trades!$C$2:$C$74,IF($D$24="(All)","*",$D$24),Trades!$AE$2:$AE$74,IF($G$24="(All)","*",$G$24)),"")</f>
        <v/>
      </c>
      <c r="K30" s="30">
        <f>IFERROR(AVERAGEIFS(Trades!$O$2:$O$74,Trades!$AF$2:$AF$74,$A$30,Trades!$C$2:$C$74,IF($D$24="(All)","*",$D$24),Trades!$AE$2:$AE$74,IF($G$24="(All)","*",$G$24)),"")</f>
        <v/>
      </c>
      <c r="L30" s="34">
        <f>IFERROR(E30/SUMIFS(Trades!$AD$2:$AD$74,Trades!$C$2:$C$74,IF($D$24="(All)","*",$D$24),Trades!$AE$2:$AE$74,IF($G$24="(All)","*",$G$24))*100,"")</f>
        <v/>
      </c>
    </row>
    <row r="31">
      <c r="A31" s="40" t="inlineStr">
        <is>
          <t>All trades</t>
        </is>
      </c>
      <c r="B31" s="41">
        <f>COUNTIFS(Trades!$C$2:$C$74,IF($D$24="(All)","*",$D$24),Trades!$AE$2:$AE$74,IF($G$24="(All)","*",$G$24))</f>
        <v/>
      </c>
      <c r="C31" s="41">
        <f>COUNTIFS(Trades!$AE$2:$AE$74,"Win",Trades!$C$2:$C$74,IF($D$24="(All)","*",$D$24),Trades!$AE$2:$AE$74,IF($G$24="(All)","*",$G$24))</f>
        <v/>
      </c>
      <c r="D31" s="42">
        <f>IFERROR(C31/B31*100,"")</f>
        <v/>
      </c>
      <c r="E31" s="43">
        <f>SUMIFS(Trades!$AD$2:$AD$74,Trades!$C$2:$C$74,IF($D$24="(All)","*",$D$24),Trades!$AE$2:$AE$74,IF($G$24="(All)","*",$G$24))</f>
        <v/>
      </c>
      <c r="F31" s="43">
        <f>IFERROR(E31/B31,"")</f>
        <v/>
      </c>
      <c r="G31" s="44">
        <f>IFERROR(AVERAGEIFS(Trades!$Z$2:$Z$74,Trades!$C$2:$C$74,IF($D$24="(All)","*",$D$24),Trades!$AE$2:$AE$74,IF($G$24="(All)","*",$G$24)),"")</f>
        <v/>
      </c>
      <c r="H31" s="45">
        <f>IFERROR(SUMIFS(Trades!$AD$2:$AD$74,Trades!$AD$2:$AD$74,"&gt;0",Trades!$C$2:$C$74,IF($D$24="(All)","*",$D$24),Trades!$AE$2:$AE$74,IF($G$24="(All)","*",$G$24))/-SUMIFS(Trades!$AD$2:$AD$74,Trades!$AD$2:$AD$74,"&lt;0",Trades!$C$2:$C$74,IF($D$24="(All)","*",$D$24),Trades!$AE$2:$AE$74,IF($G$24="(All)","*",$G$24)),"")</f>
        <v/>
      </c>
      <c r="I31" s="46">
        <f>IFERROR(AVERAGEIFS(Trades!$AH$2:$AH$74,Trades!$C$2:$C$74,IF($D$24="(All)","*",$D$24),Trades!$AE$2:$AE$74,IF($G$24="(All)","*",$G$24)),"")</f>
        <v/>
      </c>
      <c r="J31" s="46">
        <f>IFERROR(AVERAGEIFS(Trades!$AI$2:$AI$74,Trades!$C$2:$C$74,IF($D$24="(All)","*",$D$24),Trades!$AE$2:$AE$74,IF($G$24="(All)","*",$G$24)),"")</f>
        <v/>
      </c>
      <c r="K31" s="47">
        <f>IFERROR(AVERAGEIFS(Trades!$O$2:$O$74,Trades!$C$2:$C$74,IF($D$24="(All)","*",$D$24),Trades!$AE$2:$AE$74,IF($G$24="(All)","*",$G$24)),"")</f>
        <v/>
      </c>
      <c r="L31" s="42">
        <f>IFERROR(E31/SUMIFS(Trades!$AD$2:$AD$74,Trades!$C$2:$C$74,IF($D$24="(All)","*",$D$24),Trades!$AE$2:$AE$74,IF($G$24="(All)","*",$G$24))*100,"")</f>
        <v/>
      </c>
    </row>
  </sheetData>
  <mergeCells count="2">
    <mergeCell ref="A2:L2"/>
    <mergeCell ref="A1:L1"/>
  </mergeCells>
  <conditionalFormatting sqref="E28:E30">
    <cfRule type="cellIs" priority="1" operator="greaterThan" dxfId="5">
      <formula>0</formula>
    </cfRule>
    <cfRule type="cellIs" priority="2" operator="lessThan" dxfId="6">
      <formula>0</formula>
    </cfRule>
  </conditionalFormatting>
  <conditionalFormatting sqref="B28:B30">
    <cfRule type="dataBar" priority="3">
      <dataBar showValue="1">
        <cfvo type="num" val="0"/>
        <cfvo type="max"/>
        <color rgb="00DBEAFE"/>
      </dataBar>
    </cfRule>
  </conditionalFormatting>
  <dataValidations count="2">
    <dataValidation sqref="D24" showDropDown="0" showInputMessage="0" showErrorMessage="0" allowBlank="0" type="list">
      <formula1>"(All),DAXEUR,DJIUSD,NDXUSD,NIKJPY,XAUUSD"</formula1>
    </dataValidation>
    <dataValidation sqref="G24" showDropDown="0" showInputMessage="0" showErrorMessage="0" allowBlank="0" type="list">
      <formula1>"(All),Win,Loss,Breakeven"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8" customWidth="1" min="3" max="3"/>
    <col width="9" customWidth="1" min="4" max="4"/>
    <col width="12" customWidth="1" min="5" max="5"/>
    <col width="11" customWidth="1" min="6" max="6"/>
    <col width="9" customWidth="1" min="7" max="7"/>
    <col width="12" customWidth="1" min="8" max="8"/>
    <col width="10" customWidth="1" min="9" max="9"/>
    <col width="10" customWidth="1" min="10" max="10"/>
    <col width="13" customWidth="1" min="11" max="11"/>
    <col width="12" customWidth="1" min="12" max="12"/>
  </cols>
  <sheetData>
    <row r="1" ht="34" customHeight="1">
      <c r="A1" s="1" t="inlineStr">
        <is>
          <t>Risk and sequence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Sizing consistency, drawdown depth, and what streaks did to the balance. Sequence matters: the same trades in a different order produce a different drawdown.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A4" s="4" t="inlineStr">
        <is>
          <t>Sizing</t>
        </is>
      </c>
    </row>
    <row r="5" ht="16" customHeight="1">
      <c r="A5" s="23" t="inlineStr">
        <is>
          <t>Average risk</t>
        </is>
      </c>
      <c r="D5" s="50" t="n">
        <v>5.92</v>
      </c>
      <c r="F5" s="39" t="inlineStr">
        <is>
          <t>Money at stake per trade, from entry to the initial stop.</t>
        </is>
      </c>
    </row>
    <row r="6" ht="16" customHeight="1">
      <c r="A6" s="23" t="inlineStr">
        <is>
          <t>Median risk</t>
        </is>
      </c>
      <c r="D6" s="50" t="n">
        <v>5.15</v>
      </c>
      <c r="F6" s="39" t="inlineStr">
        <is>
          <t>Half the trades risked less than this.</t>
        </is>
      </c>
    </row>
    <row r="7" ht="16" customHeight="1">
      <c r="A7" s="23" t="inlineStr">
        <is>
          <t>Risk consistency</t>
        </is>
      </c>
      <c r="D7" s="52" t="n">
        <v>0.408</v>
      </c>
      <c r="F7" s="39" t="inlineStr">
        <is>
          <t>Standard deviation divided by the mean. Under 0.30 is disciplined sizing; above 0.60 means the size is being chosen by feel, and one oversized loss can undo a good month.</t>
        </is>
      </c>
    </row>
    <row r="8" ht="16" customHeight="1">
      <c r="A8" s="23" t="inlineStr">
        <is>
          <t>Average risk % of balance</t>
        </is>
      </c>
      <c r="D8" s="51" t="n">
        <v>0.59</v>
      </c>
      <c r="F8" s="39" t="inlineStr">
        <is>
          <t>Against the balance standing before each trade.</t>
        </is>
      </c>
    </row>
    <row r="9" ht="16" customHeight="1">
      <c r="A9" s="23" t="inlineStr">
        <is>
          <t>Largest risk % of balance</t>
        </is>
      </c>
      <c r="D9" s="56" t="n">
        <v>1.272</v>
      </c>
      <c r="F9" s="39" t="inlineStr">
        <is>
          <t>The single most exposed trade in the record.</t>
        </is>
      </c>
    </row>
    <row r="10" ht="16" customHeight="1">
      <c r="A10" s="23" t="inlineStr">
        <is>
          <t>Average planned RR</t>
        </is>
      </c>
      <c r="D10" s="52" t="n">
        <v>1.52</v>
      </c>
      <c r="F10" s="39" t="inlineStr">
        <is>
          <t>Reward-to-risk as set at entry, where both a stop and a target existed.</t>
        </is>
      </c>
    </row>
    <row r="11" ht="16" customHeight="1">
      <c r="A11" s="23" t="inlineStr">
        <is>
          <t>Realised R per trade</t>
        </is>
      </c>
      <c r="D11" s="57" t="n">
        <v>0.225</v>
      </c>
      <c r="F11" s="39" t="inlineStr">
        <is>
          <t>Compare with planned RR above: a wide gap is trades not being held to their own plan.</t>
        </is>
      </c>
    </row>
    <row r="14">
      <c r="A14" s="4" t="inlineStr">
        <is>
          <t>Drawdown</t>
        </is>
      </c>
    </row>
    <row r="15" ht="16" customHeight="1">
      <c r="A15" s="23" t="inlineStr">
        <is>
          <t>Maximum drawdown</t>
        </is>
      </c>
      <c r="D15" s="49" t="n">
        <v>-84.51000000000001</v>
      </c>
      <c r="F15" s="39" t="inlineStr">
        <is>
          <t>8.2% below the equity peak.</t>
        </is>
      </c>
    </row>
    <row r="16" ht="16" customHeight="1">
      <c r="A16" s="23" t="inlineStr">
        <is>
          <t>Recovery factor</t>
        </is>
      </c>
      <c r="D16" s="52" t="n">
        <v>1.193</v>
      </c>
      <c r="F16" s="39" t="inlineStr">
        <is>
          <t>Net profit divided by that drawdown. Under 1.0 means the account has not yet made back more than its worst decline.</t>
        </is>
      </c>
    </row>
    <row r="17" ht="16" customHeight="1">
      <c r="A17" s="23" t="inlineStr">
        <is>
          <t>Longest drawdown</t>
        </is>
      </c>
      <c r="D17" s="55" t="n">
        <v>29</v>
      </c>
      <c r="F17" s="39" t="inlineStr">
        <is>
          <t>Trades spent below the previous equity peak - the number that actually tests patience.</t>
        </is>
      </c>
    </row>
    <row r="18" ht="16" customHeight="1">
      <c r="A18" s="23" t="inlineStr">
        <is>
          <t>Worst losing run</t>
        </is>
      </c>
      <c r="D18" s="49" t="n">
        <v>-54.4</v>
      </c>
      <c r="F18" s="39" t="inlineStr">
        <is>
          <t>6 consecutive losses.</t>
        </is>
      </c>
    </row>
    <row r="19" ht="16" customHeight="1">
      <c r="A19" s="23" t="inlineStr">
        <is>
          <t>Best winning run</t>
        </is>
      </c>
      <c r="D19" s="48" t="n">
        <v>80.08</v>
      </c>
      <c r="F19" s="39" t="inlineStr">
        <is>
          <t>3 consecutive wins.</t>
        </is>
      </c>
    </row>
    <row r="20" ht="16" customHeight="1">
      <c r="A20" s="23" t="inlineStr">
        <is>
          <t>Current streak</t>
        </is>
      </c>
      <c r="D20" s="58" t="n">
        <v>3</v>
      </c>
      <c r="F20" s="39" t="inlineStr">
        <is>
          <t>Positive is wins, negative is losses, as of the last closed trade.</t>
        </is>
      </c>
    </row>
    <row r="21" ht="16" customHeight="1">
      <c r="A21" s="23" t="inlineStr">
        <is>
          <t>Standard deviation per trade</t>
        </is>
      </c>
      <c r="D21" s="50" t="n">
        <v>13.72</v>
      </c>
      <c r="F21" s="39" t="inlineStr">
        <is>
          <t>The spread the expectancy is drawn from. A large value next to a small expectancy is why the equity curve feels rough.</t>
        </is>
      </c>
    </row>
    <row r="22" ht="16" customHeight="1">
      <c r="A22" s="23" t="inlineStr">
        <is>
          <t>Largest win</t>
        </is>
      </c>
      <c r="D22" s="48" t="n">
        <v>50.23</v>
      </c>
      <c r="F22" s="39" t="inlineStr">
        <is>
          <t>Check this against average win: if one trade carries the account, the record is thinner than the net suggests.</t>
        </is>
      </c>
    </row>
    <row r="23" ht="16" customHeight="1">
      <c r="A23" s="23" t="inlineStr">
        <is>
          <t>Largest loss</t>
        </is>
      </c>
      <c r="D23" s="49" t="n">
        <v>-16.43</v>
      </c>
      <c r="F23" s="39" t="inlineStr">
        <is>
          <t>Against average risk, this shows whether stops held.</t>
        </is>
      </c>
    </row>
    <row r="26">
      <c r="A26" s="4" t="inlineStr">
        <is>
          <t>Filters</t>
        </is>
      </c>
      <c r="C26" s="37" t="inlineStr">
        <is>
          <t>Symbol</t>
        </is>
      </c>
      <c r="D26" s="38" t="inlineStr">
        <is>
          <t>(All)</t>
        </is>
      </c>
      <c r="F26" s="37" t="inlineStr">
        <is>
          <t>Outcome</t>
        </is>
      </c>
      <c r="G26" s="38" t="inlineStr">
        <is>
          <t>(All)</t>
        </is>
      </c>
      <c r="I26" s="39" t="inlineStr">
        <is>
          <t>Change either dropdown - every grid below recalculates.</t>
        </is>
      </c>
    </row>
    <row r="28">
      <c r="A28" s="4" t="inlineStr">
        <is>
          <t>By stop management</t>
        </is>
      </c>
      <c r="E28" s="39" t="inlineStr">
        <is>
          <t>Whether moving the stop after entry paid for itself. 'Tightened' with a worse net than 'Unchanged' means stops are being moved too early.</t>
        </is>
      </c>
    </row>
    <row r="29" ht="28" customHeight="1">
      <c r="A29" s="22" t="inlineStr">
        <is>
          <t>SL moved</t>
        </is>
      </c>
      <c r="B29" s="22" t="inlineStr">
        <is>
          <t>Trades</t>
        </is>
      </c>
      <c r="C29" s="22" t="inlineStr">
        <is>
          <t>Wins</t>
        </is>
      </c>
      <c r="D29" s="22" t="inlineStr">
        <is>
          <t>Win %</t>
        </is>
      </c>
      <c r="E29" s="22" t="inlineStr">
        <is>
          <t>Net</t>
        </is>
      </c>
      <c r="F29" s="22" t="inlineStr">
        <is>
          <t>Expectancy</t>
        </is>
      </c>
      <c r="G29" s="22" t="inlineStr">
        <is>
          <t>Avg R</t>
        </is>
      </c>
      <c r="H29" s="22" t="inlineStr">
        <is>
          <t>Profit factor</t>
        </is>
      </c>
      <c r="I29" s="22" t="inlineStr">
        <is>
          <t>Avg MFE</t>
        </is>
      </c>
      <c r="J29" s="22" t="inlineStr">
        <is>
          <t>Avg MAE</t>
        </is>
      </c>
      <c r="K29" s="22" t="inlineStr">
        <is>
          <t>Avg dur (min)</t>
        </is>
      </c>
      <c r="L29" s="22" t="inlineStr">
        <is>
          <t>Share of net</t>
        </is>
      </c>
    </row>
    <row r="30" ht="16" customHeight="1">
      <c r="A30" s="23" t="inlineStr">
        <is>
          <t>Breakeven</t>
        </is>
      </c>
      <c r="B30" s="24">
        <f>COUNTIFS(Trades!$V$2:$V$74,$A$30,Trades!$C$2:$C$74,IF($D$26="(All)","*",$D$26),Trades!$AE$2:$AE$74,IF($G$26="(All)","*",$G$26))</f>
        <v/>
      </c>
      <c r="C30" s="24">
        <f>COUNTIFS(Trades!$AE$2:$AE$74,"Win",Trades!$V$2:$V$74,$A$30,Trades!$C$2:$C$74,IF($D$26="(All)","*",$D$26),Trades!$AE$2:$AE$74,IF($G$26="(All)","*",$G$26))</f>
        <v/>
      </c>
      <c r="D30" s="34">
        <f>IFERROR(C30/B30*100,"")</f>
        <v/>
      </c>
      <c r="E30" s="33">
        <f>SUMIFS(Trades!$AD$2:$AD$74,Trades!$V$2:$V$74,$A$30,Trades!$C$2:$C$74,IF($D$26="(All)","*",$D$26),Trades!$AE$2:$AE$74,IF($G$26="(All)","*",$G$26))</f>
        <v/>
      </c>
      <c r="F30" s="33">
        <f>IFERROR(E30/B30,"")</f>
        <v/>
      </c>
      <c r="G30" s="32">
        <f>IFERROR(AVERAGEIFS(Trades!$Z$2:$Z$74,Trades!$V$2:$V$74,$A$30,Trades!$C$2:$C$74,IF($D$26="(All)","*",$D$26),Trades!$AE$2:$AE$74,IF($G$26="(All)","*",$G$26)),"")</f>
        <v/>
      </c>
      <c r="H30" s="28">
        <f>IFERROR(SUMIFS(Trades!$AD$2:$AD$74,Trades!$V$2:$V$74,$A$30,Trades!$AD$2:$AD$74,"&gt;0",Trades!$C$2:$C$74,IF($D$26="(All)","*",$D$26),Trades!$AE$2:$AE$74,IF($G$26="(All)","*",$G$26))/-SUMIFS(Trades!$AD$2:$AD$74,Trades!$V$2:$V$74,$A$30,Trades!$AD$2:$AD$74,"&lt;0",Trades!$C$2:$C$74,IF($D$26="(All)","*",$D$26),Trades!$AE$2:$AE$74,IF($G$26="(All)","*",$G$26)),"")</f>
        <v/>
      </c>
      <c r="I30" s="31">
        <f>IFERROR(AVERAGEIFS(Trades!$AH$2:$AH$74,Trades!$V$2:$V$74,$A$30,Trades!$C$2:$C$74,IF($D$26="(All)","*",$D$26),Trades!$AE$2:$AE$74,IF($G$26="(All)","*",$G$26)),"")</f>
        <v/>
      </c>
      <c r="J30" s="31">
        <f>IFERROR(AVERAGEIFS(Trades!$AI$2:$AI$74,Trades!$V$2:$V$74,$A$30,Trades!$C$2:$C$74,IF($D$26="(All)","*",$D$26),Trades!$AE$2:$AE$74,IF($G$26="(All)","*",$G$26)),"")</f>
        <v/>
      </c>
      <c r="K30" s="30">
        <f>IFERROR(AVERAGEIFS(Trades!$O$2:$O$74,Trades!$V$2:$V$74,$A$30,Trades!$C$2:$C$74,IF($D$26="(All)","*",$D$26),Trades!$AE$2:$AE$74,IF($G$26="(All)","*",$G$26)),"")</f>
        <v/>
      </c>
      <c r="L30" s="34">
        <f>IFERROR(E30/SUMIFS(Trades!$AD$2:$AD$74,Trades!$C$2:$C$74,IF($D$26="(All)","*",$D$26),Trades!$AE$2:$AE$74,IF($G$26="(All)","*",$G$26))*100,"")</f>
        <v/>
      </c>
    </row>
    <row r="31" ht="16" customHeight="1">
      <c r="A31" s="23" t="inlineStr">
        <is>
          <t>Tightened</t>
        </is>
      </c>
      <c r="B31" s="24">
        <f>COUNTIFS(Trades!$V$2:$V$74,$A$31,Trades!$C$2:$C$74,IF($D$26="(All)","*",$D$26),Trades!$AE$2:$AE$74,IF($G$26="(All)","*",$G$26))</f>
        <v/>
      </c>
      <c r="C31" s="24">
        <f>COUNTIFS(Trades!$AE$2:$AE$74,"Win",Trades!$V$2:$V$74,$A$31,Trades!$C$2:$C$74,IF($D$26="(All)","*",$D$26),Trades!$AE$2:$AE$74,IF($G$26="(All)","*",$G$26))</f>
        <v/>
      </c>
      <c r="D31" s="34">
        <f>IFERROR(C31/B31*100,"")</f>
        <v/>
      </c>
      <c r="E31" s="33">
        <f>SUMIFS(Trades!$AD$2:$AD$74,Trades!$V$2:$V$74,$A$31,Trades!$C$2:$C$74,IF($D$26="(All)","*",$D$26),Trades!$AE$2:$AE$74,IF($G$26="(All)","*",$G$26))</f>
        <v/>
      </c>
      <c r="F31" s="33">
        <f>IFERROR(E31/B31,"")</f>
        <v/>
      </c>
      <c r="G31" s="32">
        <f>IFERROR(AVERAGEIFS(Trades!$Z$2:$Z$74,Trades!$V$2:$V$74,$A$31,Trades!$C$2:$C$74,IF($D$26="(All)","*",$D$26),Trades!$AE$2:$AE$74,IF($G$26="(All)","*",$G$26)),"")</f>
        <v/>
      </c>
      <c r="H31" s="28">
        <f>IFERROR(SUMIFS(Trades!$AD$2:$AD$74,Trades!$V$2:$V$74,$A$31,Trades!$AD$2:$AD$74,"&gt;0",Trades!$C$2:$C$74,IF($D$26="(All)","*",$D$26),Trades!$AE$2:$AE$74,IF($G$26="(All)","*",$G$26))/-SUMIFS(Trades!$AD$2:$AD$74,Trades!$V$2:$V$74,$A$31,Trades!$AD$2:$AD$74,"&lt;0",Trades!$C$2:$C$74,IF($D$26="(All)","*",$D$26),Trades!$AE$2:$AE$74,IF($G$26="(All)","*",$G$26)),"")</f>
        <v/>
      </c>
      <c r="I31" s="31">
        <f>IFERROR(AVERAGEIFS(Trades!$AH$2:$AH$74,Trades!$V$2:$V$74,$A$31,Trades!$C$2:$C$74,IF($D$26="(All)","*",$D$26),Trades!$AE$2:$AE$74,IF($G$26="(All)","*",$G$26)),"")</f>
        <v/>
      </c>
      <c r="J31" s="31">
        <f>IFERROR(AVERAGEIFS(Trades!$AI$2:$AI$74,Trades!$V$2:$V$74,$A$31,Trades!$C$2:$C$74,IF($D$26="(All)","*",$D$26),Trades!$AE$2:$AE$74,IF($G$26="(All)","*",$G$26)),"")</f>
        <v/>
      </c>
      <c r="K31" s="30">
        <f>IFERROR(AVERAGEIFS(Trades!$O$2:$O$74,Trades!$V$2:$V$74,$A$31,Trades!$C$2:$C$74,IF($D$26="(All)","*",$D$26),Trades!$AE$2:$AE$74,IF($G$26="(All)","*",$G$26)),"")</f>
        <v/>
      </c>
      <c r="L31" s="34">
        <f>IFERROR(E31/SUMIFS(Trades!$AD$2:$AD$74,Trades!$C$2:$C$74,IF($D$26="(All)","*",$D$26),Trades!$AE$2:$AE$74,IF($G$26="(All)","*",$G$26))*100,"")</f>
        <v/>
      </c>
    </row>
    <row r="32" ht="16" customHeight="1">
      <c r="A32" s="23" t="inlineStr">
        <is>
          <t>Unchanged</t>
        </is>
      </c>
      <c r="B32" s="24">
        <f>COUNTIFS(Trades!$V$2:$V$74,$A$32,Trades!$C$2:$C$74,IF($D$26="(All)","*",$D$26),Trades!$AE$2:$AE$74,IF($G$26="(All)","*",$G$26))</f>
        <v/>
      </c>
      <c r="C32" s="24">
        <f>COUNTIFS(Trades!$AE$2:$AE$74,"Win",Trades!$V$2:$V$74,$A$32,Trades!$C$2:$C$74,IF($D$26="(All)","*",$D$26),Trades!$AE$2:$AE$74,IF($G$26="(All)","*",$G$26))</f>
        <v/>
      </c>
      <c r="D32" s="34">
        <f>IFERROR(C32/B32*100,"")</f>
        <v/>
      </c>
      <c r="E32" s="33">
        <f>SUMIFS(Trades!$AD$2:$AD$74,Trades!$V$2:$V$74,$A$32,Trades!$C$2:$C$74,IF($D$26="(All)","*",$D$26),Trades!$AE$2:$AE$74,IF($G$26="(All)","*",$G$26))</f>
        <v/>
      </c>
      <c r="F32" s="33">
        <f>IFERROR(E32/B32,"")</f>
        <v/>
      </c>
      <c r="G32" s="32">
        <f>IFERROR(AVERAGEIFS(Trades!$Z$2:$Z$74,Trades!$V$2:$V$74,$A$32,Trades!$C$2:$C$74,IF($D$26="(All)","*",$D$26),Trades!$AE$2:$AE$74,IF($G$26="(All)","*",$G$26)),"")</f>
        <v/>
      </c>
      <c r="H32" s="28">
        <f>IFERROR(SUMIFS(Trades!$AD$2:$AD$74,Trades!$V$2:$V$74,$A$32,Trades!$AD$2:$AD$74,"&gt;0",Trades!$C$2:$C$74,IF($D$26="(All)","*",$D$26),Trades!$AE$2:$AE$74,IF($G$26="(All)","*",$G$26))/-SUMIFS(Trades!$AD$2:$AD$74,Trades!$V$2:$V$74,$A$32,Trades!$AD$2:$AD$74,"&lt;0",Trades!$C$2:$C$74,IF($D$26="(All)","*",$D$26),Trades!$AE$2:$AE$74,IF($G$26="(All)","*",$G$26)),"")</f>
        <v/>
      </c>
      <c r="I32" s="31">
        <f>IFERROR(AVERAGEIFS(Trades!$AH$2:$AH$74,Trades!$V$2:$V$74,$A$32,Trades!$C$2:$C$74,IF($D$26="(All)","*",$D$26),Trades!$AE$2:$AE$74,IF($G$26="(All)","*",$G$26)),"")</f>
        <v/>
      </c>
      <c r="J32" s="31">
        <f>IFERROR(AVERAGEIFS(Trades!$AI$2:$AI$74,Trades!$V$2:$V$74,$A$32,Trades!$C$2:$C$74,IF($D$26="(All)","*",$D$26),Trades!$AE$2:$AE$74,IF($G$26="(All)","*",$G$26)),"")</f>
        <v/>
      </c>
      <c r="K32" s="30">
        <f>IFERROR(AVERAGEIFS(Trades!$O$2:$O$74,Trades!$V$2:$V$74,$A$32,Trades!$C$2:$C$74,IF($D$26="(All)","*",$D$26),Trades!$AE$2:$AE$74,IF($G$26="(All)","*",$G$26)),"")</f>
        <v/>
      </c>
      <c r="L32" s="34">
        <f>IFERROR(E32/SUMIFS(Trades!$AD$2:$AD$74,Trades!$C$2:$C$74,IF($D$26="(All)","*",$D$26),Trades!$AE$2:$AE$74,IF($G$26="(All)","*",$G$26))*100,"")</f>
        <v/>
      </c>
    </row>
    <row r="33" ht="16" customHeight="1">
      <c r="A33" s="23" t="inlineStr">
        <is>
          <t>Widened</t>
        </is>
      </c>
      <c r="B33" s="24">
        <f>COUNTIFS(Trades!$V$2:$V$74,$A$33,Trades!$C$2:$C$74,IF($D$26="(All)","*",$D$26),Trades!$AE$2:$AE$74,IF($G$26="(All)","*",$G$26))</f>
        <v/>
      </c>
      <c r="C33" s="24">
        <f>COUNTIFS(Trades!$AE$2:$AE$74,"Win",Trades!$V$2:$V$74,$A$33,Trades!$C$2:$C$74,IF($D$26="(All)","*",$D$26),Trades!$AE$2:$AE$74,IF($G$26="(All)","*",$G$26))</f>
        <v/>
      </c>
      <c r="D33" s="34">
        <f>IFERROR(C33/B33*100,"")</f>
        <v/>
      </c>
      <c r="E33" s="33">
        <f>SUMIFS(Trades!$AD$2:$AD$74,Trades!$V$2:$V$74,$A$33,Trades!$C$2:$C$74,IF($D$26="(All)","*",$D$26),Trades!$AE$2:$AE$74,IF($G$26="(All)","*",$G$26))</f>
        <v/>
      </c>
      <c r="F33" s="33">
        <f>IFERROR(E33/B33,"")</f>
        <v/>
      </c>
      <c r="G33" s="32">
        <f>IFERROR(AVERAGEIFS(Trades!$Z$2:$Z$74,Trades!$V$2:$V$74,$A$33,Trades!$C$2:$C$74,IF($D$26="(All)","*",$D$26),Trades!$AE$2:$AE$74,IF($G$26="(All)","*",$G$26)),"")</f>
        <v/>
      </c>
      <c r="H33" s="28">
        <f>IFERROR(SUMIFS(Trades!$AD$2:$AD$74,Trades!$V$2:$V$74,$A$33,Trades!$AD$2:$AD$74,"&gt;0",Trades!$C$2:$C$74,IF($D$26="(All)","*",$D$26),Trades!$AE$2:$AE$74,IF($G$26="(All)","*",$G$26))/-SUMIFS(Trades!$AD$2:$AD$74,Trades!$V$2:$V$74,$A$33,Trades!$AD$2:$AD$74,"&lt;0",Trades!$C$2:$C$74,IF($D$26="(All)","*",$D$26),Trades!$AE$2:$AE$74,IF($G$26="(All)","*",$G$26)),"")</f>
        <v/>
      </c>
      <c r="I33" s="31">
        <f>IFERROR(AVERAGEIFS(Trades!$AH$2:$AH$74,Trades!$V$2:$V$74,$A$33,Trades!$C$2:$C$74,IF($D$26="(All)","*",$D$26),Trades!$AE$2:$AE$74,IF($G$26="(All)","*",$G$26)),"")</f>
        <v/>
      </c>
      <c r="J33" s="31">
        <f>IFERROR(AVERAGEIFS(Trades!$AI$2:$AI$74,Trades!$V$2:$V$74,$A$33,Trades!$C$2:$C$74,IF($D$26="(All)","*",$D$26),Trades!$AE$2:$AE$74,IF($G$26="(All)","*",$G$26)),"")</f>
        <v/>
      </c>
      <c r="K33" s="30">
        <f>IFERROR(AVERAGEIFS(Trades!$O$2:$O$74,Trades!$V$2:$V$74,$A$33,Trades!$C$2:$C$74,IF($D$26="(All)","*",$D$26),Trades!$AE$2:$AE$74,IF($G$26="(All)","*",$G$26)),"")</f>
        <v/>
      </c>
      <c r="L33" s="34">
        <f>IFERROR(E33/SUMIFS(Trades!$AD$2:$AD$74,Trades!$C$2:$C$74,IF($D$26="(All)","*",$D$26),Trades!$AE$2:$AE$74,IF($G$26="(All)","*",$G$26))*100,"")</f>
        <v/>
      </c>
    </row>
    <row r="34">
      <c r="A34" s="40" t="inlineStr">
        <is>
          <t>All trades</t>
        </is>
      </c>
      <c r="B34" s="41">
        <f>COUNTIFS(Trades!$C$2:$C$74,IF($D$26="(All)","*",$D$26),Trades!$AE$2:$AE$74,IF($G$26="(All)","*",$G$26))</f>
        <v/>
      </c>
      <c r="C34" s="41">
        <f>COUNTIFS(Trades!$AE$2:$AE$74,"Win",Trades!$C$2:$C$74,IF($D$26="(All)","*",$D$26),Trades!$AE$2:$AE$74,IF($G$26="(All)","*",$G$26))</f>
        <v/>
      </c>
      <c r="D34" s="42">
        <f>IFERROR(C34/B34*100,"")</f>
        <v/>
      </c>
      <c r="E34" s="43">
        <f>SUMIFS(Trades!$AD$2:$AD$74,Trades!$C$2:$C$74,IF($D$26="(All)","*",$D$26),Trades!$AE$2:$AE$74,IF($G$26="(All)","*",$G$26))</f>
        <v/>
      </c>
      <c r="F34" s="43">
        <f>IFERROR(E34/B34,"")</f>
        <v/>
      </c>
      <c r="G34" s="44">
        <f>IFERROR(AVERAGEIFS(Trades!$Z$2:$Z$74,Trades!$C$2:$C$74,IF($D$26="(All)","*",$D$26),Trades!$AE$2:$AE$74,IF($G$26="(All)","*",$G$26)),"")</f>
        <v/>
      </c>
      <c r="H34" s="45">
        <f>IFERROR(SUMIFS(Trades!$AD$2:$AD$74,Trades!$AD$2:$AD$74,"&gt;0",Trades!$C$2:$C$74,IF($D$26="(All)","*",$D$26),Trades!$AE$2:$AE$74,IF($G$26="(All)","*",$G$26))/-SUMIFS(Trades!$AD$2:$AD$74,Trades!$AD$2:$AD$74,"&lt;0",Trades!$C$2:$C$74,IF($D$26="(All)","*",$D$26),Trades!$AE$2:$AE$74,IF($G$26="(All)","*",$G$26)),"")</f>
        <v/>
      </c>
      <c r="I34" s="46">
        <f>IFERROR(AVERAGEIFS(Trades!$AH$2:$AH$74,Trades!$C$2:$C$74,IF($D$26="(All)","*",$D$26),Trades!$AE$2:$AE$74,IF($G$26="(All)","*",$G$26)),"")</f>
        <v/>
      </c>
      <c r="J34" s="46">
        <f>IFERROR(AVERAGEIFS(Trades!$AI$2:$AI$74,Trades!$C$2:$C$74,IF($D$26="(All)","*",$D$26),Trades!$AE$2:$AE$74,IF($G$26="(All)","*",$G$26)),"")</f>
        <v/>
      </c>
      <c r="K34" s="47">
        <f>IFERROR(AVERAGEIFS(Trades!$O$2:$O$74,Trades!$C$2:$C$74,IF($D$26="(All)","*",$D$26),Trades!$AE$2:$AE$74,IF($G$26="(All)","*",$G$26)),"")</f>
        <v/>
      </c>
      <c r="L34" s="42">
        <f>IFERROR(E34/SUMIFS(Trades!$AD$2:$AD$74,Trades!$C$2:$C$74,IF($D$26="(All)","*",$D$26),Trades!$AE$2:$AE$74,IF($G$26="(All)","*",$G$26))*100,"")</f>
        <v/>
      </c>
    </row>
    <row r="37">
      <c r="A37" s="4" t="inlineStr">
        <is>
          <t>By position in the streak</t>
        </is>
      </c>
      <c r="E37" s="39" t="inlineStr">
        <is>
          <t>Streak counts the trade itself: -1 is the first loss after a win, -2 the second in a row. If the net worsens as the streak deepens, the losing runs are being made worse by the trading, not just by the market.</t>
        </is>
      </c>
    </row>
    <row r="38" ht="28" customHeight="1">
      <c r="A38" s="22" t="inlineStr">
        <is>
          <t>Streak</t>
        </is>
      </c>
      <c r="B38" s="22" t="inlineStr">
        <is>
          <t>Trades</t>
        </is>
      </c>
      <c r="C38" s="22" t="inlineStr">
        <is>
          <t>Wins</t>
        </is>
      </c>
      <c r="D38" s="22" t="inlineStr">
        <is>
          <t>Win %</t>
        </is>
      </c>
      <c r="E38" s="22" t="inlineStr">
        <is>
          <t>Net</t>
        </is>
      </c>
      <c r="F38" s="22" t="inlineStr">
        <is>
          <t>Expectancy</t>
        </is>
      </c>
      <c r="G38" s="22" t="inlineStr">
        <is>
          <t>Avg R</t>
        </is>
      </c>
      <c r="H38" s="22" t="inlineStr">
        <is>
          <t>Profit factor</t>
        </is>
      </c>
      <c r="I38" s="22" t="inlineStr">
        <is>
          <t>Avg MFE</t>
        </is>
      </c>
      <c r="J38" s="22" t="inlineStr">
        <is>
          <t>Avg MAE</t>
        </is>
      </c>
      <c r="K38" s="22" t="inlineStr">
        <is>
          <t>Avg dur (min)</t>
        </is>
      </c>
      <c r="L38" s="22" t="inlineStr">
        <is>
          <t>Share of net</t>
        </is>
      </c>
    </row>
    <row r="39" ht="16" customHeight="1">
      <c r="A39" s="23" t="n">
        <v>-6</v>
      </c>
      <c r="B39" s="24">
        <f>COUNTIFS(Trades!$BB$2:$BB$74,$A$39,Trades!$C$2:$C$74,IF($D$26="(All)","*",$D$26),Trades!$AE$2:$AE$74,IF($G$26="(All)","*",$G$26))</f>
        <v/>
      </c>
      <c r="C39" s="24">
        <f>COUNTIFS(Trades!$AE$2:$AE$74,"Win",Trades!$BB$2:$BB$74,$A$39,Trades!$C$2:$C$74,IF($D$26="(All)","*",$D$26),Trades!$AE$2:$AE$74,IF($G$26="(All)","*",$G$26))</f>
        <v/>
      </c>
      <c r="D39" s="34">
        <f>IFERROR(C39/B39*100,"")</f>
        <v/>
      </c>
      <c r="E39" s="33">
        <f>SUMIFS(Trades!$AD$2:$AD$74,Trades!$BB$2:$BB$74,$A$39,Trades!$C$2:$C$74,IF($D$26="(All)","*",$D$26),Trades!$AE$2:$AE$74,IF($G$26="(All)","*",$G$26))</f>
        <v/>
      </c>
      <c r="F39" s="33">
        <f>IFERROR(E39/B39,"")</f>
        <v/>
      </c>
      <c r="G39" s="32">
        <f>IFERROR(AVERAGEIFS(Trades!$Z$2:$Z$74,Trades!$BB$2:$BB$74,$A$39,Trades!$C$2:$C$74,IF($D$26="(All)","*",$D$26),Trades!$AE$2:$AE$74,IF($G$26="(All)","*",$G$26)),"")</f>
        <v/>
      </c>
      <c r="H39" s="28">
        <f>IFERROR(SUMIFS(Trades!$AD$2:$AD$74,Trades!$BB$2:$BB$74,$A$39,Trades!$AD$2:$AD$74,"&gt;0",Trades!$C$2:$C$74,IF($D$26="(All)","*",$D$26),Trades!$AE$2:$AE$74,IF($G$26="(All)","*",$G$26))/-SUMIFS(Trades!$AD$2:$AD$74,Trades!$BB$2:$BB$74,$A$39,Trades!$AD$2:$AD$74,"&lt;0",Trades!$C$2:$C$74,IF($D$26="(All)","*",$D$26),Trades!$AE$2:$AE$74,IF($G$26="(All)","*",$G$26)),"")</f>
        <v/>
      </c>
      <c r="I39" s="31">
        <f>IFERROR(AVERAGEIFS(Trades!$AH$2:$AH$74,Trades!$BB$2:$BB$74,$A$39,Trades!$C$2:$C$74,IF($D$26="(All)","*",$D$26),Trades!$AE$2:$AE$74,IF($G$26="(All)","*",$G$26)),"")</f>
        <v/>
      </c>
      <c r="J39" s="31">
        <f>IFERROR(AVERAGEIFS(Trades!$AI$2:$AI$74,Trades!$BB$2:$BB$74,$A$39,Trades!$C$2:$C$74,IF($D$26="(All)","*",$D$26),Trades!$AE$2:$AE$74,IF($G$26="(All)","*",$G$26)),"")</f>
        <v/>
      </c>
      <c r="K39" s="30">
        <f>IFERROR(AVERAGEIFS(Trades!$O$2:$O$74,Trades!$BB$2:$BB$74,$A$39,Trades!$C$2:$C$74,IF($D$26="(All)","*",$D$26),Trades!$AE$2:$AE$74,IF($G$26="(All)","*",$G$26)),"")</f>
        <v/>
      </c>
      <c r="L39" s="34">
        <f>IFERROR(E39/SUMIFS(Trades!$AD$2:$AD$74,Trades!$C$2:$C$74,IF($D$26="(All)","*",$D$26),Trades!$AE$2:$AE$74,IF($G$26="(All)","*",$G$26))*100,"")</f>
        <v/>
      </c>
    </row>
    <row r="40" ht="16" customHeight="1">
      <c r="A40" s="23" t="n">
        <v>-5</v>
      </c>
      <c r="B40" s="24">
        <f>COUNTIFS(Trades!$BB$2:$BB$74,$A$40,Trades!$C$2:$C$74,IF($D$26="(All)","*",$D$26),Trades!$AE$2:$AE$74,IF($G$26="(All)","*",$G$26))</f>
        <v/>
      </c>
      <c r="C40" s="24">
        <f>COUNTIFS(Trades!$AE$2:$AE$74,"Win",Trades!$BB$2:$BB$74,$A$40,Trades!$C$2:$C$74,IF($D$26="(All)","*",$D$26),Trades!$AE$2:$AE$74,IF($G$26="(All)","*",$G$26))</f>
        <v/>
      </c>
      <c r="D40" s="34">
        <f>IFERROR(C40/B40*100,"")</f>
        <v/>
      </c>
      <c r="E40" s="33">
        <f>SUMIFS(Trades!$AD$2:$AD$74,Trades!$BB$2:$BB$74,$A$40,Trades!$C$2:$C$74,IF($D$26="(All)","*",$D$26),Trades!$AE$2:$AE$74,IF($G$26="(All)","*",$G$26))</f>
        <v/>
      </c>
      <c r="F40" s="33">
        <f>IFERROR(E40/B40,"")</f>
        <v/>
      </c>
      <c r="G40" s="32">
        <f>IFERROR(AVERAGEIFS(Trades!$Z$2:$Z$74,Trades!$BB$2:$BB$74,$A$40,Trades!$C$2:$C$74,IF($D$26="(All)","*",$D$26),Trades!$AE$2:$AE$74,IF($G$26="(All)","*",$G$26)),"")</f>
        <v/>
      </c>
      <c r="H40" s="28">
        <f>IFERROR(SUMIFS(Trades!$AD$2:$AD$74,Trades!$BB$2:$BB$74,$A$40,Trades!$AD$2:$AD$74,"&gt;0",Trades!$C$2:$C$74,IF($D$26="(All)","*",$D$26),Trades!$AE$2:$AE$74,IF($G$26="(All)","*",$G$26))/-SUMIFS(Trades!$AD$2:$AD$74,Trades!$BB$2:$BB$74,$A$40,Trades!$AD$2:$AD$74,"&lt;0",Trades!$C$2:$C$74,IF($D$26="(All)","*",$D$26),Trades!$AE$2:$AE$74,IF($G$26="(All)","*",$G$26)),"")</f>
        <v/>
      </c>
      <c r="I40" s="31">
        <f>IFERROR(AVERAGEIFS(Trades!$AH$2:$AH$74,Trades!$BB$2:$BB$74,$A$40,Trades!$C$2:$C$74,IF($D$26="(All)","*",$D$26),Trades!$AE$2:$AE$74,IF($G$26="(All)","*",$G$26)),"")</f>
        <v/>
      </c>
      <c r="J40" s="31">
        <f>IFERROR(AVERAGEIFS(Trades!$AI$2:$AI$74,Trades!$BB$2:$BB$74,$A$40,Trades!$C$2:$C$74,IF($D$26="(All)","*",$D$26),Trades!$AE$2:$AE$74,IF($G$26="(All)","*",$G$26)),"")</f>
        <v/>
      </c>
      <c r="K40" s="30">
        <f>IFERROR(AVERAGEIFS(Trades!$O$2:$O$74,Trades!$BB$2:$BB$74,$A$40,Trades!$C$2:$C$74,IF($D$26="(All)","*",$D$26),Trades!$AE$2:$AE$74,IF($G$26="(All)","*",$G$26)),"")</f>
        <v/>
      </c>
      <c r="L40" s="34">
        <f>IFERROR(E40/SUMIFS(Trades!$AD$2:$AD$74,Trades!$C$2:$C$74,IF($D$26="(All)","*",$D$26),Trades!$AE$2:$AE$74,IF($G$26="(All)","*",$G$26))*100,"")</f>
        <v/>
      </c>
    </row>
    <row r="41" ht="16" customHeight="1">
      <c r="A41" s="23" t="n">
        <v>-4</v>
      </c>
      <c r="B41" s="24">
        <f>COUNTIFS(Trades!$BB$2:$BB$74,$A$41,Trades!$C$2:$C$74,IF($D$26="(All)","*",$D$26),Trades!$AE$2:$AE$74,IF($G$26="(All)","*",$G$26))</f>
        <v/>
      </c>
      <c r="C41" s="24">
        <f>COUNTIFS(Trades!$AE$2:$AE$74,"Win",Trades!$BB$2:$BB$74,$A$41,Trades!$C$2:$C$74,IF($D$26="(All)","*",$D$26),Trades!$AE$2:$AE$74,IF($G$26="(All)","*",$G$26))</f>
        <v/>
      </c>
      <c r="D41" s="34">
        <f>IFERROR(C41/B41*100,"")</f>
        <v/>
      </c>
      <c r="E41" s="33">
        <f>SUMIFS(Trades!$AD$2:$AD$74,Trades!$BB$2:$BB$74,$A$41,Trades!$C$2:$C$74,IF($D$26="(All)","*",$D$26),Trades!$AE$2:$AE$74,IF($G$26="(All)","*",$G$26))</f>
        <v/>
      </c>
      <c r="F41" s="33">
        <f>IFERROR(E41/B41,"")</f>
        <v/>
      </c>
      <c r="G41" s="32">
        <f>IFERROR(AVERAGEIFS(Trades!$Z$2:$Z$74,Trades!$BB$2:$BB$74,$A$41,Trades!$C$2:$C$74,IF($D$26="(All)","*",$D$26),Trades!$AE$2:$AE$74,IF($G$26="(All)","*",$G$26)),"")</f>
        <v/>
      </c>
      <c r="H41" s="28">
        <f>IFERROR(SUMIFS(Trades!$AD$2:$AD$74,Trades!$BB$2:$BB$74,$A$41,Trades!$AD$2:$AD$74,"&gt;0",Trades!$C$2:$C$74,IF($D$26="(All)","*",$D$26),Trades!$AE$2:$AE$74,IF($G$26="(All)","*",$G$26))/-SUMIFS(Trades!$AD$2:$AD$74,Trades!$BB$2:$BB$74,$A$41,Trades!$AD$2:$AD$74,"&lt;0",Trades!$C$2:$C$74,IF($D$26="(All)","*",$D$26),Trades!$AE$2:$AE$74,IF($G$26="(All)","*",$G$26)),"")</f>
        <v/>
      </c>
      <c r="I41" s="31">
        <f>IFERROR(AVERAGEIFS(Trades!$AH$2:$AH$74,Trades!$BB$2:$BB$74,$A$41,Trades!$C$2:$C$74,IF($D$26="(All)","*",$D$26),Trades!$AE$2:$AE$74,IF($G$26="(All)","*",$G$26)),"")</f>
        <v/>
      </c>
      <c r="J41" s="31">
        <f>IFERROR(AVERAGEIFS(Trades!$AI$2:$AI$74,Trades!$BB$2:$BB$74,$A$41,Trades!$C$2:$C$74,IF($D$26="(All)","*",$D$26),Trades!$AE$2:$AE$74,IF($G$26="(All)","*",$G$26)),"")</f>
        <v/>
      </c>
      <c r="K41" s="30">
        <f>IFERROR(AVERAGEIFS(Trades!$O$2:$O$74,Trades!$BB$2:$BB$74,$A$41,Trades!$C$2:$C$74,IF($D$26="(All)","*",$D$26),Trades!$AE$2:$AE$74,IF($G$26="(All)","*",$G$26)),"")</f>
        <v/>
      </c>
      <c r="L41" s="34">
        <f>IFERROR(E41/SUMIFS(Trades!$AD$2:$AD$74,Trades!$C$2:$C$74,IF($D$26="(All)","*",$D$26),Trades!$AE$2:$AE$74,IF($G$26="(All)","*",$G$26))*100,"")</f>
        <v/>
      </c>
    </row>
    <row r="42" ht="16" customHeight="1">
      <c r="A42" s="23" t="n">
        <v>-3</v>
      </c>
      <c r="B42" s="24">
        <f>COUNTIFS(Trades!$BB$2:$BB$74,$A$42,Trades!$C$2:$C$74,IF($D$26="(All)","*",$D$26),Trades!$AE$2:$AE$74,IF($G$26="(All)","*",$G$26))</f>
        <v/>
      </c>
      <c r="C42" s="24">
        <f>COUNTIFS(Trades!$AE$2:$AE$74,"Win",Trades!$BB$2:$BB$74,$A$42,Trades!$C$2:$C$74,IF($D$26="(All)","*",$D$26),Trades!$AE$2:$AE$74,IF($G$26="(All)","*",$G$26))</f>
        <v/>
      </c>
      <c r="D42" s="34">
        <f>IFERROR(C42/B42*100,"")</f>
        <v/>
      </c>
      <c r="E42" s="33">
        <f>SUMIFS(Trades!$AD$2:$AD$74,Trades!$BB$2:$BB$74,$A$42,Trades!$C$2:$C$74,IF($D$26="(All)","*",$D$26),Trades!$AE$2:$AE$74,IF($G$26="(All)","*",$G$26))</f>
        <v/>
      </c>
      <c r="F42" s="33">
        <f>IFERROR(E42/B42,"")</f>
        <v/>
      </c>
      <c r="G42" s="32">
        <f>IFERROR(AVERAGEIFS(Trades!$Z$2:$Z$74,Trades!$BB$2:$BB$74,$A$42,Trades!$C$2:$C$74,IF($D$26="(All)","*",$D$26),Trades!$AE$2:$AE$74,IF($G$26="(All)","*",$G$26)),"")</f>
        <v/>
      </c>
      <c r="H42" s="28">
        <f>IFERROR(SUMIFS(Trades!$AD$2:$AD$74,Trades!$BB$2:$BB$74,$A$42,Trades!$AD$2:$AD$74,"&gt;0",Trades!$C$2:$C$74,IF($D$26="(All)","*",$D$26),Trades!$AE$2:$AE$74,IF($G$26="(All)","*",$G$26))/-SUMIFS(Trades!$AD$2:$AD$74,Trades!$BB$2:$BB$74,$A$42,Trades!$AD$2:$AD$74,"&lt;0",Trades!$C$2:$C$74,IF($D$26="(All)","*",$D$26),Trades!$AE$2:$AE$74,IF($G$26="(All)","*",$G$26)),"")</f>
        <v/>
      </c>
      <c r="I42" s="31">
        <f>IFERROR(AVERAGEIFS(Trades!$AH$2:$AH$74,Trades!$BB$2:$BB$74,$A$42,Trades!$C$2:$C$74,IF($D$26="(All)","*",$D$26),Trades!$AE$2:$AE$74,IF($G$26="(All)","*",$G$26)),"")</f>
        <v/>
      </c>
      <c r="J42" s="31">
        <f>IFERROR(AVERAGEIFS(Trades!$AI$2:$AI$74,Trades!$BB$2:$BB$74,$A$42,Trades!$C$2:$C$74,IF($D$26="(All)","*",$D$26),Trades!$AE$2:$AE$74,IF($G$26="(All)","*",$G$26)),"")</f>
        <v/>
      </c>
      <c r="K42" s="30">
        <f>IFERROR(AVERAGEIFS(Trades!$O$2:$O$74,Trades!$BB$2:$BB$74,$A$42,Trades!$C$2:$C$74,IF($D$26="(All)","*",$D$26),Trades!$AE$2:$AE$74,IF($G$26="(All)","*",$G$26)),"")</f>
        <v/>
      </c>
      <c r="L42" s="34">
        <f>IFERROR(E42/SUMIFS(Trades!$AD$2:$AD$74,Trades!$C$2:$C$74,IF($D$26="(All)","*",$D$26),Trades!$AE$2:$AE$74,IF($G$26="(All)","*",$G$26))*100,"")</f>
        <v/>
      </c>
    </row>
    <row r="43" ht="16" customHeight="1">
      <c r="A43" s="23" t="n">
        <v>-2</v>
      </c>
      <c r="B43" s="24">
        <f>COUNTIFS(Trades!$BB$2:$BB$74,$A$43,Trades!$C$2:$C$74,IF($D$26="(All)","*",$D$26),Trades!$AE$2:$AE$74,IF($G$26="(All)","*",$G$26))</f>
        <v/>
      </c>
      <c r="C43" s="24">
        <f>COUNTIFS(Trades!$AE$2:$AE$74,"Win",Trades!$BB$2:$BB$74,$A$43,Trades!$C$2:$C$74,IF($D$26="(All)","*",$D$26),Trades!$AE$2:$AE$74,IF($G$26="(All)","*",$G$26))</f>
        <v/>
      </c>
      <c r="D43" s="34">
        <f>IFERROR(C43/B43*100,"")</f>
        <v/>
      </c>
      <c r="E43" s="33">
        <f>SUMIFS(Trades!$AD$2:$AD$74,Trades!$BB$2:$BB$74,$A$43,Trades!$C$2:$C$74,IF($D$26="(All)","*",$D$26),Trades!$AE$2:$AE$74,IF($G$26="(All)","*",$G$26))</f>
        <v/>
      </c>
      <c r="F43" s="33">
        <f>IFERROR(E43/B43,"")</f>
        <v/>
      </c>
      <c r="G43" s="32">
        <f>IFERROR(AVERAGEIFS(Trades!$Z$2:$Z$74,Trades!$BB$2:$BB$74,$A$43,Trades!$C$2:$C$74,IF($D$26="(All)","*",$D$26),Trades!$AE$2:$AE$74,IF($G$26="(All)","*",$G$26)),"")</f>
        <v/>
      </c>
      <c r="H43" s="28">
        <f>IFERROR(SUMIFS(Trades!$AD$2:$AD$74,Trades!$BB$2:$BB$74,$A$43,Trades!$AD$2:$AD$74,"&gt;0",Trades!$C$2:$C$74,IF($D$26="(All)","*",$D$26),Trades!$AE$2:$AE$74,IF($G$26="(All)","*",$G$26))/-SUMIFS(Trades!$AD$2:$AD$74,Trades!$BB$2:$BB$74,$A$43,Trades!$AD$2:$AD$74,"&lt;0",Trades!$C$2:$C$74,IF($D$26="(All)","*",$D$26),Trades!$AE$2:$AE$74,IF($G$26="(All)","*",$G$26)),"")</f>
        <v/>
      </c>
      <c r="I43" s="31">
        <f>IFERROR(AVERAGEIFS(Trades!$AH$2:$AH$74,Trades!$BB$2:$BB$74,$A$43,Trades!$C$2:$C$74,IF($D$26="(All)","*",$D$26),Trades!$AE$2:$AE$74,IF($G$26="(All)","*",$G$26)),"")</f>
        <v/>
      </c>
      <c r="J43" s="31">
        <f>IFERROR(AVERAGEIFS(Trades!$AI$2:$AI$74,Trades!$BB$2:$BB$74,$A$43,Trades!$C$2:$C$74,IF($D$26="(All)","*",$D$26),Trades!$AE$2:$AE$74,IF($G$26="(All)","*",$G$26)),"")</f>
        <v/>
      </c>
      <c r="K43" s="30">
        <f>IFERROR(AVERAGEIFS(Trades!$O$2:$O$74,Trades!$BB$2:$BB$74,$A$43,Trades!$C$2:$C$74,IF($D$26="(All)","*",$D$26),Trades!$AE$2:$AE$74,IF($G$26="(All)","*",$G$26)),"")</f>
        <v/>
      </c>
      <c r="L43" s="34">
        <f>IFERROR(E43/SUMIFS(Trades!$AD$2:$AD$74,Trades!$C$2:$C$74,IF($D$26="(All)","*",$D$26),Trades!$AE$2:$AE$74,IF($G$26="(All)","*",$G$26))*100,"")</f>
        <v/>
      </c>
    </row>
    <row r="44" ht="16" customHeight="1">
      <c r="A44" s="23" t="n">
        <v>-1</v>
      </c>
      <c r="B44" s="24">
        <f>COUNTIFS(Trades!$BB$2:$BB$74,$A$44,Trades!$C$2:$C$74,IF($D$26="(All)","*",$D$26),Trades!$AE$2:$AE$74,IF($G$26="(All)","*",$G$26))</f>
        <v/>
      </c>
      <c r="C44" s="24">
        <f>COUNTIFS(Trades!$AE$2:$AE$74,"Win",Trades!$BB$2:$BB$74,$A$44,Trades!$C$2:$C$74,IF($D$26="(All)","*",$D$26),Trades!$AE$2:$AE$74,IF($G$26="(All)","*",$G$26))</f>
        <v/>
      </c>
      <c r="D44" s="34">
        <f>IFERROR(C44/B44*100,"")</f>
        <v/>
      </c>
      <c r="E44" s="33">
        <f>SUMIFS(Trades!$AD$2:$AD$74,Trades!$BB$2:$BB$74,$A$44,Trades!$C$2:$C$74,IF($D$26="(All)","*",$D$26),Trades!$AE$2:$AE$74,IF($G$26="(All)","*",$G$26))</f>
        <v/>
      </c>
      <c r="F44" s="33">
        <f>IFERROR(E44/B44,"")</f>
        <v/>
      </c>
      <c r="G44" s="32">
        <f>IFERROR(AVERAGEIFS(Trades!$Z$2:$Z$74,Trades!$BB$2:$BB$74,$A$44,Trades!$C$2:$C$74,IF($D$26="(All)","*",$D$26),Trades!$AE$2:$AE$74,IF($G$26="(All)","*",$G$26)),"")</f>
        <v/>
      </c>
      <c r="H44" s="28">
        <f>IFERROR(SUMIFS(Trades!$AD$2:$AD$74,Trades!$BB$2:$BB$74,$A$44,Trades!$AD$2:$AD$74,"&gt;0",Trades!$C$2:$C$74,IF($D$26="(All)","*",$D$26),Trades!$AE$2:$AE$74,IF($G$26="(All)","*",$G$26))/-SUMIFS(Trades!$AD$2:$AD$74,Trades!$BB$2:$BB$74,$A$44,Trades!$AD$2:$AD$74,"&lt;0",Trades!$C$2:$C$74,IF($D$26="(All)","*",$D$26),Trades!$AE$2:$AE$74,IF($G$26="(All)","*",$G$26)),"")</f>
        <v/>
      </c>
      <c r="I44" s="31">
        <f>IFERROR(AVERAGEIFS(Trades!$AH$2:$AH$74,Trades!$BB$2:$BB$74,$A$44,Trades!$C$2:$C$74,IF($D$26="(All)","*",$D$26),Trades!$AE$2:$AE$74,IF($G$26="(All)","*",$G$26)),"")</f>
        <v/>
      </c>
      <c r="J44" s="31">
        <f>IFERROR(AVERAGEIFS(Trades!$AI$2:$AI$74,Trades!$BB$2:$BB$74,$A$44,Trades!$C$2:$C$74,IF($D$26="(All)","*",$D$26),Trades!$AE$2:$AE$74,IF($G$26="(All)","*",$G$26)),"")</f>
        <v/>
      </c>
      <c r="K44" s="30">
        <f>IFERROR(AVERAGEIFS(Trades!$O$2:$O$74,Trades!$BB$2:$BB$74,$A$44,Trades!$C$2:$C$74,IF($D$26="(All)","*",$D$26),Trades!$AE$2:$AE$74,IF($G$26="(All)","*",$G$26)),"")</f>
        <v/>
      </c>
      <c r="L44" s="34">
        <f>IFERROR(E44/SUMIFS(Trades!$AD$2:$AD$74,Trades!$C$2:$C$74,IF($D$26="(All)","*",$D$26),Trades!$AE$2:$AE$74,IF($G$26="(All)","*",$G$26))*100,"")</f>
        <v/>
      </c>
    </row>
    <row r="45" ht="16" customHeight="1">
      <c r="A45" s="23" t="n">
        <v>0</v>
      </c>
      <c r="B45" s="24">
        <f>COUNTIFS(Trades!$BB$2:$BB$74,$A$45,Trades!$C$2:$C$74,IF($D$26="(All)","*",$D$26),Trades!$AE$2:$AE$74,IF($G$26="(All)","*",$G$26))</f>
        <v/>
      </c>
      <c r="C45" s="24">
        <f>COUNTIFS(Trades!$AE$2:$AE$74,"Win",Trades!$BB$2:$BB$74,$A$45,Trades!$C$2:$C$74,IF($D$26="(All)","*",$D$26),Trades!$AE$2:$AE$74,IF($G$26="(All)","*",$G$26))</f>
        <v/>
      </c>
      <c r="D45" s="34">
        <f>IFERROR(C45/B45*100,"")</f>
        <v/>
      </c>
      <c r="E45" s="33">
        <f>SUMIFS(Trades!$AD$2:$AD$74,Trades!$BB$2:$BB$74,$A$45,Trades!$C$2:$C$74,IF($D$26="(All)","*",$D$26),Trades!$AE$2:$AE$74,IF($G$26="(All)","*",$G$26))</f>
        <v/>
      </c>
      <c r="F45" s="33">
        <f>IFERROR(E45/B45,"")</f>
        <v/>
      </c>
      <c r="G45" s="32">
        <f>IFERROR(AVERAGEIFS(Trades!$Z$2:$Z$74,Trades!$BB$2:$BB$74,$A$45,Trades!$C$2:$C$74,IF($D$26="(All)","*",$D$26),Trades!$AE$2:$AE$74,IF($G$26="(All)","*",$G$26)),"")</f>
        <v/>
      </c>
      <c r="H45" s="28">
        <f>IFERROR(SUMIFS(Trades!$AD$2:$AD$74,Trades!$BB$2:$BB$74,$A$45,Trades!$AD$2:$AD$74,"&gt;0",Trades!$C$2:$C$74,IF($D$26="(All)","*",$D$26),Trades!$AE$2:$AE$74,IF($G$26="(All)","*",$G$26))/-SUMIFS(Trades!$AD$2:$AD$74,Trades!$BB$2:$BB$74,$A$45,Trades!$AD$2:$AD$74,"&lt;0",Trades!$C$2:$C$74,IF($D$26="(All)","*",$D$26),Trades!$AE$2:$AE$74,IF($G$26="(All)","*",$G$26)),"")</f>
        <v/>
      </c>
      <c r="I45" s="31">
        <f>IFERROR(AVERAGEIFS(Trades!$AH$2:$AH$74,Trades!$BB$2:$BB$74,$A$45,Trades!$C$2:$C$74,IF($D$26="(All)","*",$D$26),Trades!$AE$2:$AE$74,IF($G$26="(All)","*",$G$26)),"")</f>
        <v/>
      </c>
      <c r="J45" s="31">
        <f>IFERROR(AVERAGEIFS(Trades!$AI$2:$AI$74,Trades!$BB$2:$BB$74,$A$45,Trades!$C$2:$C$74,IF($D$26="(All)","*",$D$26),Trades!$AE$2:$AE$74,IF($G$26="(All)","*",$G$26)),"")</f>
        <v/>
      </c>
      <c r="K45" s="30">
        <f>IFERROR(AVERAGEIFS(Trades!$O$2:$O$74,Trades!$BB$2:$BB$74,$A$45,Trades!$C$2:$C$74,IF($D$26="(All)","*",$D$26),Trades!$AE$2:$AE$74,IF($G$26="(All)","*",$G$26)),"")</f>
        <v/>
      </c>
      <c r="L45" s="34">
        <f>IFERROR(E45/SUMIFS(Trades!$AD$2:$AD$74,Trades!$C$2:$C$74,IF($D$26="(All)","*",$D$26),Trades!$AE$2:$AE$74,IF($G$26="(All)","*",$G$26))*100,"")</f>
        <v/>
      </c>
    </row>
    <row r="46" ht="16" customHeight="1">
      <c r="A46" s="23" t="n">
        <v>1</v>
      </c>
      <c r="B46" s="24">
        <f>COUNTIFS(Trades!$BB$2:$BB$74,$A$46,Trades!$C$2:$C$74,IF($D$26="(All)","*",$D$26),Trades!$AE$2:$AE$74,IF($G$26="(All)","*",$G$26))</f>
        <v/>
      </c>
      <c r="C46" s="24">
        <f>COUNTIFS(Trades!$AE$2:$AE$74,"Win",Trades!$BB$2:$BB$74,$A$46,Trades!$C$2:$C$74,IF($D$26="(All)","*",$D$26),Trades!$AE$2:$AE$74,IF($G$26="(All)","*",$G$26))</f>
        <v/>
      </c>
      <c r="D46" s="34">
        <f>IFERROR(C46/B46*100,"")</f>
        <v/>
      </c>
      <c r="E46" s="33">
        <f>SUMIFS(Trades!$AD$2:$AD$74,Trades!$BB$2:$BB$74,$A$46,Trades!$C$2:$C$74,IF($D$26="(All)","*",$D$26),Trades!$AE$2:$AE$74,IF($G$26="(All)","*",$G$26))</f>
        <v/>
      </c>
      <c r="F46" s="33">
        <f>IFERROR(E46/B46,"")</f>
        <v/>
      </c>
      <c r="G46" s="32">
        <f>IFERROR(AVERAGEIFS(Trades!$Z$2:$Z$74,Trades!$BB$2:$BB$74,$A$46,Trades!$C$2:$C$74,IF($D$26="(All)","*",$D$26),Trades!$AE$2:$AE$74,IF($G$26="(All)","*",$G$26)),"")</f>
        <v/>
      </c>
      <c r="H46" s="28">
        <f>IFERROR(SUMIFS(Trades!$AD$2:$AD$74,Trades!$BB$2:$BB$74,$A$46,Trades!$AD$2:$AD$74,"&gt;0",Trades!$C$2:$C$74,IF($D$26="(All)","*",$D$26),Trades!$AE$2:$AE$74,IF($G$26="(All)","*",$G$26))/-SUMIFS(Trades!$AD$2:$AD$74,Trades!$BB$2:$BB$74,$A$46,Trades!$AD$2:$AD$74,"&lt;0",Trades!$C$2:$C$74,IF($D$26="(All)","*",$D$26),Trades!$AE$2:$AE$74,IF($G$26="(All)","*",$G$26)),"")</f>
        <v/>
      </c>
      <c r="I46" s="31">
        <f>IFERROR(AVERAGEIFS(Trades!$AH$2:$AH$74,Trades!$BB$2:$BB$74,$A$46,Trades!$C$2:$C$74,IF($D$26="(All)","*",$D$26),Trades!$AE$2:$AE$74,IF($G$26="(All)","*",$G$26)),"")</f>
        <v/>
      </c>
      <c r="J46" s="31">
        <f>IFERROR(AVERAGEIFS(Trades!$AI$2:$AI$74,Trades!$BB$2:$BB$74,$A$46,Trades!$C$2:$C$74,IF($D$26="(All)","*",$D$26),Trades!$AE$2:$AE$74,IF($G$26="(All)","*",$G$26)),"")</f>
        <v/>
      </c>
      <c r="K46" s="30">
        <f>IFERROR(AVERAGEIFS(Trades!$O$2:$O$74,Trades!$BB$2:$BB$74,$A$46,Trades!$C$2:$C$74,IF($D$26="(All)","*",$D$26),Trades!$AE$2:$AE$74,IF($G$26="(All)","*",$G$26)),"")</f>
        <v/>
      </c>
      <c r="L46" s="34">
        <f>IFERROR(E46/SUMIFS(Trades!$AD$2:$AD$74,Trades!$C$2:$C$74,IF($D$26="(All)","*",$D$26),Trades!$AE$2:$AE$74,IF($G$26="(All)","*",$G$26))*100,"")</f>
        <v/>
      </c>
    </row>
    <row r="47" ht="16" customHeight="1">
      <c r="A47" s="23" t="n">
        <v>2</v>
      </c>
      <c r="B47" s="24">
        <f>COUNTIFS(Trades!$BB$2:$BB$74,$A$47,Trades!$C$2:$C$74,IF($D$26="(All)","*",$D$26),Trades!$AE$2:$AE$74,IF($G$26="(All)","*",$G$26))</f>
        <v/>
      </c>
      <c r="C47" s="24">
        <f>COUNTIFS(Trades!$AE$2:$AE$74,"Win",Trades!$BB$2:$BB$74,$A$47,Trades!$C$2:$C$74,IF($D$26="(All)","*",$D$26),Trades!$AE$2:$AE$74,IF($G$26="(All)","*",$G$26))</f>
        <v/>
      </c>
      <c r="D47" s="34">
        <f>IFERROR(C47/B47*100,"")</f>
        <v/>
      </c>
      <c r="E47" s="33">
        <f>SUMIFS(Trades!$AD$2:$AD$74,Trades!$BB$2:$BB$74,$A$47,Trades!$C$2:$C$74,IF($D$26="(All)","*",$D$26),Trades!$AE$2:$AE$74,IF($G$26="(All)","*",$G$26))</f>
        <v/>
      </c>
      <c r="F47" s="33">
        <f>IFERROR(E47/B47,"")</f>
        <v/>
      </c>
      <c r="G47" s="32">
        <f>IFERROR(AVERAGEIFS(Trades!$Z$2:$Z$74,Trades!$BB$2:$BB$74,$A$47,Trades!$C$2:$C$74,IF($D$26="(All)","*",$D$26),Trades!$AE$2:$AE$74,IF($G$26="(All)","*",$G$26)),"")</f>
        <v/>
      </c>
      <c r="H47" s="28">
        <f>IFERROR(SUMIFS(Trades!$AD$2:$AD$74,Trades!$BB$2:$BB$74,$A$47,Trades!$AD$2:$AD$74,"&gt;0",Trades!$C$2:$C$74,IF($D$26="(All)","*",$D$26),Trades!$AE$2:$AE$74,IF($G$26="(All)","*",$G$26))/-SUMIFS(Trades!$AD$2:$AD$74,Trades!$BB$2:$BB$74,$A$47,Trades!$AD$2:$AD$74,"&lt;0",Trades!$C$2:$C$74,IF($D$26="(All)","*",$D$26),Trades!$AE$2:$AE$74,IF($G$26="(All)","*",$G$26)),"")</f>
        <v/>
      </c>
      <c r="I47" s="31">
        <f>IFERROR(AVERAGEIFS(Trades!$AH$2:$AH$74,Trades!$BB$2:$BB$74,$A$47,Trades!$C$2:$C$74,IF($D$26="(All)","*",$D$26),Trades!$AE$2:$AE$74,IF($G$26="(All)","*",$G$26)),"")</f>
        <v/>
      </c>
      <c r="J47" s="31">
        <f>IFERROR(AVERAGEIFS(Trades!$AI$2:$AI$74,Trades!$BB$2:$BB$74,$A$47,Trades!$C$2:$C$74,IF($D$26="(All)","*",$D$26),Trades!$AE$2:$AE$74,IF($G$26="(All)","*",$G$26)),"")</f>
        <v/>
      </c>
      <c r="K47" s="30">
        <f>IFERROR(AVERAGEIFS(Trades!$O$2:$O$74,Trades!$BB$2:$BB$74,$A$47,Trades!$C$2:$C$74,IF($D$26="(All)","*",$D$26),Trades!$AE$2:$AE$74,IF($G$26="(All)","*",$G$26)),"")</f>
        <v/>
      </c>
      <c r="L47" s="34">
        <f>IFERROR(E47/SUMIFS(Trades!$AD$2:$AD$74,Trades!$C$2:$C$74,IF($D$26="(All)","*",$D$26),Trades!$AE$2:$AE$74,IF($G$26="(All)","*",$G$26))*100,"")</f>
        <v/>
      </c>
    </row>
    <row r="48" ht="16" customHeight="1">
      <c r="A48" s="23" t="n">
        <v>3</v>
      </c>
      <c r="B48" s="24">
        <f>COUNTIFS(Trades!$BB$2:$BB$74,$A$48,Trades!$C$2:$C$74,IF($D$26="(All)","*",$D$26),Trades!$AE$2:$AE$74,IF($G$26="(All)","*",$G$26))</f>
        <v/>
      </c>
      <c r="C48" s="24">
        <f>COUNTIFS(Trades!$AE$2:$AE$74,"Win",Trades!$BB$2:$BB$74,$A$48,Trades!$C$2:$C$74,IF($D$26="(All)","*",$D$26),Trades!$AE$2:$AE$74,IF($G$26="(All)","*",$G$26))</f>
        <v/>
      </c>
      <c r="D48" s="34">
        <f>IFERROR(C48/B48*100,"")</f>
        <v/>
      </c>
      <c r="E48" s="33">
        <f>SUMIFS(Trades!$AD$2:$AD$74,Trades!$BB$2:$BB$74,$A$48,Trades!$C$2:$C$74,IF($D$26="(All)","*",$D$26),Trades!$AE$2:$AE$74,IF($G$26="(All)","*",$G$26))</f>
        <v/>
      </c>
      <c r="F48" s="33">
        <f>IFERROR(E48/B48,"")</f>
        <v/>
      </c>
      <c r="G48" s="32">
        <f>IFERROR(AVERAGEIFS(Trades!$Z$2:$Z$74,Trades!$BB$2:$BB$74,$A$48,Trades!$C$2:$C$74,IF($D$26="(All)","*",$D$26),Trades!$AE$2:$AE$74,IF($G$26="(All)","*",$G$26)),"")</f>
        <v/>
      </c>
      <c r="H48" s="28">
        <f>IFERROR(SUMIFS(Trades!$AD$2:$AD$74,Trades!$BB$2:$BB$74,$A$48,Trades!$AD$2:$AD$74,"&gt;0",Trades!$C$2:$C$74,IF($D$26="(All)","*",$D$26),Trades!$AE$2:$AE$74,IF($G$26="(All)","*",$G$26))/-SUMIFS(Trades!$AD$2:$AD$74,Trades!$BB$2:$BB$74,$A$48,Trades!$AD$2:$AD$74,"&lt;0",Trades!$C$2:$C$74,IF($D$26="(All)","*",$D$26),Trades!$AE$2:$AE$74,IF($G$26="(All)","*",$G$26)),"")</f>
        <v/>
      </c>
      <c r="I48" s="31">
        <f>IFERROR(AVERAGEIFS(Trades!$AH$2:$AH$74,Trades!$BB$2:$BB$74,$A$48,Trades!$C$2:$C$74,IF($D$26="(All)","*",$D$26),Trades!$AE$2:$AE$74,IF($G$26="(All)","*",$G$26)),"")</f>
        <v/>
      </c>
      <c r="J48" s="31">
        <f>IFERROR(AVERAGEIFS(Trades!$AI$2:$AI$74,Trades!$BB$2:$BB$74,$A$48,Trades!$C$2:$C$74,IF($D$26="(All)","*",$D$26),Trades!$AE$2:$AE$74,IF($G$26="(All)","*",$G$26)),"")</f>
        <v/>
      </c>
      <c r="K48" s="30">
        <f>IFERROR(AVERAGEIFS(Trades!$O$2:$O$74,Trades!$BB$2:$BB$74,$A$48,Trades!$C$2:$C$74,IF($D$26="(All)","*",$D$26),Trades!$AE$2:$AE$74,IF($G$26="(All)","*",$G$26)),"")</f>
        <v/>
      </c>
      <c r="L48" s="34">
        <f>IFERROR(E48/SUMIFS(Trades!$AD$2:$AD$74,Trades!$C$2:$C$74,IF($D$26="(All)","*",$D$26),Trades!$AE$2:$AE$74,IF($G$26="(All)","*",$G$26))*100,"")</f>
        <v/>
      </c>
    </row>
    <row r="49">
      <c r="A49" s="40" t="inlineStr">
        <is>
          <t>All trades</t>
        </is>
      </c>
      <c r="B49" s="41">
        <f>COUNTIFS(Trades!$C$2:$C$74,IF($D$26="(All)","*",$D$26),Trades!$AE$2:$AE$74,IF($G$26="(All)","*",$G$26))</f>
        <v/>
      </c>
      <c r="C49" s="41">
        <f>COUNTIFS(Trades!$AE$2:$AE$74,"Win",Trades!$C$2:$C$74,IF($D$26="(All)","*",$D$26),Trades!$AE$2:$AE$74,IF($G$26="(All)","*",$G$26))</f>
        <v/>
      </c>
      <c r="D49" s="42">
        <f>IFERROR(C49/B49*100,"")</f>
        <v/>
      </c>
      <c r="E49" s="43">
        <f>SUMIFS(Trades!$AD$2:$AD$74,Trades!$C$2:$C$74,IF($D$26="(All)","*",$D$26),Trades!$AE$2:$AE$74,IF($G$26="(All)","*",$G$26))</f>
        <v/>
      </c>
      <c r="F49" s="43">
        <f>IFERROR(E49/B49,"")</f>
        <v/>
      </c>
      <c r="G49" s="44">
        <f>IFERROR(AVERAGEIFS(Trades!$Z$2:$Z$74,Trades!$C$2:$C$74,IF($D$26="(All)","*",$D$26),Trades!$AE$2:$AE$74,IF($G$26="(All)","*",$G$26)),"")</f>
        <v/>
      </c>
      <c r="H49" s="45">
        <f>IFERROR(SUMIFS(Trades!$AD$2:$AD$74,Trades!$AD$2:$AD$74,"&gt;0",Trades!$C$2:$C$74,IF($D$26="(All)","*",$D$26),Trades!$AE$2:$AE$74,IF($G$26="(All)","*",$G$26))/-SUMIFS(Trades!$AD$2:$AD$74,Trades!$AD$2:$AD$74,"&lt;0",Trades!$C$2:$C$74,IF($D$26="(All)","*",$D$26),Trades!$AE$2:$AE$74,IF($G$26="(All)","*",$G$26)),"")</f>
        <v/>
      </c>
      <c r="I49" s="46">
        <f>IFERROR(AVERAGEIFS(Trades!$AH$2:$AH$74,Trades!$C$2:$C$74,IF($D$26="(All)","*",$D$26),Trades!$AE$2:$AE$74,IF($G$26="(All)","*",$G$26)),"")</f>
        <v/>
      </c>
      <c r="J49" s="46">
        <f>IFERROR(AVERAGEIFS(Trades!$AI$2:$AI$74,Trades!$C$2:$C$74,IF($D$26="(All)","*",$D$26),Trades!$AE$2:$AE$74,IF($G$26="(All)","*",$G$26)),"")</f>
        <v/>
      </c>
      <c r="K49" s="47">
        <f>IFERROR(AVERAGEIFS(Trades!$O$2:$O$74,Trades!$C$2:$C$74,IF($D$26="(All)","*",$D$26),Trades!$AE$2:$AE$74,IF($G$26="(All)","*",$G$26)),"")</f>
        <v/>
      </c>
      <c r="L49" s="42">
        <f>IFERROR(E49/SUMIFS(Trades!$AD$2:$AD$74,Trades!$C$2:$C$74,IF($D$26="(All)","*",$D$26),Trades!$AE$2:$AE$74,IF($G$26="(All)","*",$G$26))*100,"")</f>
        <v/>
      </c>
    </row>
    <row r="52">
      <c r="A52" s="4" t="inlineStr">
        <is>
          <t>By near miss on the stop</t>
        </is>
      </c>
      <c r="E52" s="39" t="inlineStr">
        <is>
          <t>'Yes' means price came within 5 points of the stop and did not take it. A pile of these says the stops are placed exactly where the market turns - which is luck, and it runs out.</t>
        </is>
      </c>
    </row>
    <row r="53" ht="28" customHeight="1">
      <c r="A53" s="22" t="inlineStr">
        <is>
          <t>Near miss</t>
        </is>
      </c>
      <c r="B53" s="22" t="inlineStr">
        <is>
          <t>Trades</t>
        </is>
      </c>
      <c r="C53" s="22" t="inlineStr">
        <is>
          <t>Wins</t>
        </is>
      </c>
      <c r="D53" s="22" t="inlineStr">
        <is>
          <t>Win %</t>
        </is>
      </c>
      <c r="E53" s="22" t="inlineStr">
        <is>
          <t>Net</t>
        </is>
      </c>
      <c r="F53" s="22" t="inlineStr">
        <is>
          <t>Expectancy</t>
        </is>
      </c>
      <c r="G53" s="22" t="inlineStr">
        <is>
          <t>Avg R</t>
        </is>
      </c>
      <c r="H53" s="22" t="inlineStr">
        <is>
          <t>Profit factor</t>
        </is>
      </c>
      <c r="I53" s="22" t="inlineStr">
        <is>
          <t>Avg MFE</t>
        </is>
      </c>
      <c r="J53" s="22" t="inlineStr">
        <is>
          <t>Avg MAE</t>
        </is>
      </c>
      <c r="K53" s="22" t="inlineStr">
        <is>
          <t>Avg dur (min)</t>
        </is>
      </c>
      <c r="L53" s="22" t="inlineStr">
        <is>
          <t>Share of net</t>
        </is>
      </c>
    </row>
    <row r="54" ht="16" customHeight="1">
      <c r="A54" s="23" t="inlineStr">
        <is>
          <t>No</t>
        </is>
      </c>
      <c r="B54" s="24">
        <f>COUNTIFS(Trades!$AW$2:$AW$74,$A$54,Trades!$C$2:$C$74,IF($D$26="(All)","*",$D$26),Trades!$AE$2:$AE$74,IF($G$26="(All)","*",$G$26))</f>
        <v/>
      </c>
      <c r="C54" s="24">
        <f>COUNTIFS(Trades!$AE$2:$AE$74,"Win",Trades!$AW$2:$AW$74,$A$54,Trades!$C$2:$C$74,IF($D$26="(All)","*",$D$26),Trades!$AE$2:$AE$74,IF($G$26="(All)","*",$G$26))</f>
        <v/>
      </c>
      <c r="D54" s="34">
        <f>IFERROR(C54/B54*100,"")</f>
        <v/>
      </c>
      <c r="E54" s="33">
        <f>SUMIFS(Trades!$AD$2:$AD$74,Trades!$AW$2:$AW$74,$A$54,Trades!$C$2:$C$74,IF($D$26="(All)","*",$D$26),Trades!$AE$2:$AE$74,IF($G$26="(All)","*",$G$26))</f>
        <v/>
      </c>
      <c r="F54" s="33">
        <f>IFERROR(E54/B54,"")</f>
        <v/>
      </c>
      <c r="G54" s="32">
        <f>IFERROR(AVERAGEIFS(Trades!$Z$2:$Z$74,Trades!$AW$2:$AW$74,$A$54,Trades!$C$2:$C$74,IF($D$26="(All)","*",$D$26),Trades!$AE$2:$AE$74,IF($G$26="(All)","*",$G$26)),"")</f>
        <v/>
      </c>
      <c r="H54" s="28">
        <f>IFERROR(SUMIFS(Trades!$AD$2:$AD$74,Trades!$AW$2:$AW$74,$A$54,Trades!$AD$2:$AD$74,"&gt;0",Trades!$C$2:$C$74,IF($D$26="(All)","*",$D$26),Trades!$AE$2:$AE$74,IF($G$26="(All)","*",$G$26))/-SUMIFS(Trades!$AD$2:$AD$74,Trades!$AW$2:$AW$74,$A$54,Trades!$AD$2:$AD$74,"&lt;0",Trades!$C$2:$C$74,IF($D$26="(All)","*",$D$26),Trades!$AE$2:$AE$74,IF($G$26="(All)","*",$G$26)),"")</f>
        <v/>
      </c>
      <c r="I54" s="31">
        <f>IFERROR(AVERAGEIFS(Trades!$AH$2:$AH$74,Trades!$AW$2:$AW$74,$A$54,Trades!$C$2:$C$74,IF($D$26="(All)","*",$D$26),Trades!$AE$2:$AE$74,IF($G$26="(All)","*",$G$26)),"")</f>
        <v/>
      </c>
      <c r="J54" s="31">
        <f>IFERROR(AVERAGEIFS(Trades!$AI$2:$AI$74,Trades!$AW$2:$AW$74,$A$54,Trades!$C$2:$C$74,IF($D$26="(All)","*",$D$26),Trades!$AE$2:$AE$74,IF($G$26="(All)","*",$G$26)),"")</f>
        <v/>
      </c>
      <c r="K54" s="30">
        <f>IFERROR(AVERAGEIFS(Trades!$O$2:$O$74,Trades!$AW$2:$AW$74,$A$54,Trades!$C$2:$C$74,IF($D$26="(All)","*",$D$26),Trades!$AE$2:$AE$74,IF($G$26="(All)","*",$G$26)),"")</f>
        <v/>
      </c>
      <c r="L54" s="34">
        <f>IFERROR(E54/SUMIFS(Trades!$AD$2:$AD$74,Trades!$C$2:$C$74,IF($D$26="(All)","*",$D$26),Trades!$AE$2:$AE$74,IF($G$26="(All)","*",$G$26))*100,"")</f>
        <v/>
      </c>
    </row>
    <row r="55" ht="16" customHeight="1">
      <c r="A55" s="23" t="inlineStr">
        <is>
          <t>Yes</t>
        </is>
      </c>
      <c r="B55" s="24">
        <f>COUNTIFS(Trades!$AW$2:$AW$74,$A$55,Trades!$C$2:$C$74,IF($D$26="(All)","*",$D$26),Trades!$AE$2:$AE$74,IF($G$26="(All)","*",$G$26))</f>
        <v/>
      </c>
      <c r="C55" s="24">
        <f>COUNTIFS(Trades!$AE$2:$AE$74,"Win",Trades!$AW$2:$AW$74,$A$55,Trades!$C$2:$C$74,IF($D$26="(All)","*",$D$26),Trades!$AE$2:$AE$74,IF($G$26="(All)","*",$G$26))</f>
        <v/>
      </c>
      <c r="D55" s="34">
        <f>IFERROR(C55/B55*100,"")</f>
        <v/>
      </c>
      <c r="E55" s="33">
        <f>SUMIFS(Trades!$AD$2:$AD$74,Trades!$AW$2:$AW$74,$A$55,Trades!$C$2:$C$74,IF($D$26="(All)","*",$D$26),Trades!$AE$2:$AE$74,IF($G$26="(All)","*",$G$26))</f>
        <v/>
      </c>
      <c r="F55" s="33">
        <f>IFERROR(E55/B55,"")</f>
        <v/>
      </c>
      <c r="G55" s="32">
        <f>IFERROR(AVERAGEIFS(Trades!$Z$2:$Z$74,Trades!$AW$2:$AW$74,$A$55,Trades!$C$2:$C$74,IF($D$26="(All)","*",$D$26),Trades!$AE$2:$AE$74,IF($G$26="(All)","*",$G$26)),"")</f>
        <v/>
      </c>
      <c r="H55" s="28">
        <f>IFERROR(SUMIFS(Trades!$AD$2:$AD$74,Trades!$AW$2:$AW$74,$A$55,Trades!$AD$2:$AD$74,"&gt;0",Trades!$C$2:$C$74,IF($D$26="(All)","*",$D$26),Trades!$AE$2:$AE$74,IF($G$26="(All)","*",$G$26))/-SUMIFS(Trades!$AD$2:$AD$74,Trades!$AW$2:$AW$74,$A$55,Trades!$AD$2:$AD$74,"&lt;0",Trades!$C$2:$C$74,IF($D$26="(All)","*",$D$26),Trades!$AE$2:$AE$74,IF($G$26="(All)","*",$G$26)),"")</f>
        <v/>
      </c>
      <c r="I55" s="31">
        <f>IFERROR(AVERAGEIFS(Trades!$AH$2:$AH$74,Trades!$AW$2:$AW$74,$A$55,Trades!$C$2:$C$74,IF($D$26="(All)","*",$D$26),Trades!$AE$2:$AE$74,IF($G$26="(All)","*",$G$26)),"")</f>
        <v/>
      </c>
      <c r="J55" s="31">
        <f>IFERROR(AVERAGEIFS(Trades!$AI$2:$AI$74,Trades!$AW$2:$AW$74,$A$55,Trades!$C$2:$C$74,IF($D$26="(All)","*",$D$26),Trades!$AE$2:$AE$74,IF($G$26="(All)","*",$G$26)),"")</f>
        <v/>
      </c>
      <c r="K55" s="30">
        <f>IFERROR(AVERAGEIFS(Trades!$O$2:$O$74,Trades!$AW$2:$AW$74,$A$55,Trades!$C$2:$C$74,IF($D$26="(All)","*",$D$26),Trades!$AE$2:$AE$74,IF($G$26="(All)","*",$G$26)),"")</f>
        <v/>
      </c>
      <c r="L55" s="34">
        <f>IFERROR(E55/SUMIFS(Trades!$AD$2:$AD$74,Trades!$C$2:$C$74,IF($D$26="(All)","*",$D$26),Trades!$AE$2:$AE$74,IF($G$26="(All)","*",$G$26))*100,"")</f>
        <v/>
      </c>
    </row>
    <row r="56">
      <c r="A56" s="40" t="inlineStr">
        <is>
          <t>All trades</t>
        </is>
      </c>
      <c r="B56" s="41">
        <f>COUNTIFS(Trades!$C$2:$C$74,IF($D$26="(All)","*",$D$26),Trades!$AE$2:$AE$74,IF($G$26="(All)","*",$G$26))</f>
        <v/>
      </c>
      <c r="C56" s="41">
        <f>COUNTIFS(Trades!$AE$2:$AE$74,"Win",Trades!$C$2:$C$74,IF($D$26="(All)","*",$D$26),Trades!$AE$2:$AE$74,IF($G$26="(All)","*",$G$26))</f>
        <v/>
      </c>
      <c r="D56" s="42">
        <f>IFERROR(C56/B56*100,"")</f>
        <v/>
      </c>
      <c r="E56" s="43">
        <f>SUMIFS(Trades!$AD$2:$AD$74,Trades!$C$2:$C$74,IF($D$26="(All)","*",$D$26),Trades!$AE$2:$AE$74,IF($G$26="(All)","*",$G$26))</f>
        <v/>
      </c>
      <c r="F56" s="43">
        <f>IFERROR(E56/B56,"")</f>
        <v/>
      </c>
      <c r="G56" s="44">
        <f>IFERROR(AVERAGEIFS(Trades!$Z$2:$Z$74,Trades!$C$2:$C$74,IF($D$26="(All)","*",$D$26),Trades!$AE$2:$AE$74,IF($G$26="(All)","*",$G$26)),"")</f>
        <v/>
      </c>
      <c r="H56" s="45">
        <f>IFERROR(SUMIFS(Trades!$AD$2:$AD$74,Trades!$AD$2:$AD$74,"&gt;0",Trades!$C$2:$C$74,IF($D$26="(All)","*",$D$26),Trades!$AE$2:$AE$74,IF($G$26="(All)","*",$G$26))/-SUMIFS(Trades!$AD$2:$AD$74,Trades!$AD$2:$AD$74,"&lt;0",Trades!$C$2:$C$74,IF($D$26="(All)","*",$D$26),Trades!$AE$2:$AE$74,IF($G$26="(All)","*",$G$26)),"")</f>
        <v/>
      </c>
      <c r="I56" s="46">
        <f>IFERROR(AVERAGEIFS(Trades!$AH$2:$AH$74,Trades!$C$2:$C$74,IF($D$26="(All)","*",$D$26),Trades!$AE$2:$AE$74,IF($G$26="(All)","*",$G$26)),"")</f>
        <v/>
      </c>
      <c r="J56" s="46">
        <f>IFERROR(AVERAGEIFS(Trades!$AI$2:$AI$74,Trades!$C$2:$C$74,IF($D$26="(All)","*",$D$26),Trades!$AE$2:$AE$74,IF($G$26="(All)","*",$G$26)),"")</f>
        <v/>
      </c>
      <c r="K56" s="47">
        <f>IFERROR(AVERAGEIFS(Trades!$O$2:$O$74,Trades!$C$2:$C$74,IF($D$26="(All)","*",$D$26),Trades!$AE$2:$AE$74,IF($G$26="(All)","*",$G$26)),"")</f>
        <v/>
      </c>
      <c r="L56" s="42">
        <f>IFERROR(E56/SUMIFS(Trades!$AD$2:$AD$74,Trades!$C$2:$C$74,IF($D$26="(All)","*",$D$26),Trades!$AE$2:$AE$74,IF($G$26="(All)","*",$G$26))*100,"")</f>
        <v/>
      </c>
    </row>
  </sheetData>
  <mergeCells count="2">
    <mergeCell ref="A2:L2"/>
    <mergeCell ref="A1:L1"/>
  </mergeCells>
  <conditionalFormatting sqref="E30:E33">
    <cfRule type="cellIs" priority="1" operator="greaterThan" dxfId="5">
      <formula>0</formula>
    </cfRule>
    <cfRule type="cellIs" priority="2" operator="lessThan" dxfId="6">
      <formula>0</formula>
    </cfRule>
  </conditionalFormatting>
  <conditionalFormatting sqref="B30:B33">
    <cfRule type="dataBar" priority="3">
      <dataBar showValue="1">
        <cfvo type="num" val="0"/>
        <cfvo type="max"/>
        <color rgb="00DBEAFE"/>
      </dataBar>
    </cfRule>
  </conditionalFormatting>
  <conditionalFormatting sqref="E39:E48">
    <cfRule type="cellIs" priority="4" operator="greaterThan" dxfId="5">
      <formula>0</formula>
    </cfRule>
    <cfRule type="cellIs" priority="5" operator="lessThan" dxfId="6">
      <formula>0</formula>
    </cfRule>
  </conditionalFormatting>
  <conditionalFormatting sqref="B39:B48">
    <cfRule type="dataBar" priority="6">
      <dataBar showValue="1">
        <cfvo type="num" val="0"/>
        <cfvo type="max"/>
        <color rgb="00DBEAFE"/>
      </dataBar>
    </cfRule>
  </conditionalFormatting>
  <conditionalFormatting sqref="E54:E55">
    <cfRule type="cellIs" priority="7" operator="greaterThan" dxfId="5">
      <formula>0</formula>
    </cfRule>
    <cfRule type="cellIs" priority="8" operator="lessThan" dxfId="6">
      <formula>0</formula>
    </cfRule>
  </conditionalFormatting>
  <conditionalFormatting sqref="B54:B55">
    <cfRule type="dataBar" priority="9">
      <dataBar showValue="1">
        <cfvo type="num" val="0"/>
        <cfvo type="max"/>
        <color rgb="00DBEAFE"/>
      </dataBar>
    </cfRule>
  </conditionalFormatting>
  <dataValidations count="2">
    <dataValidation sqref="D26" showDropDown="0" showInputMessage="0" showErrorMessage="0" allowBlank="0" type="list">
      <formula1>"(All),DAXEUR,DJIUSD,NDXUSD,NIKJPY,XAUUSD"</formula1>
    </dataValidation>
    <dataValidation sqref="G26" showDropDown="0" showInputMessage="0" showErrorMessage="0" allowBlank="0" type="list">
      <formula1>"(All),Win,Loss,Breakeven"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6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4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4" customHeight="1">
      <c r="A1" s="1" t="inlineStr">
        <is>
          <t>Findings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18" customHeight="1">
      <c r="A2" s="3" t="inlineStr">
        <is>
          <t>Generated from this account's own record. Each finding states the threshold it had to clear, so a claim can be checked rather than believed.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>
      <c r="B4" s="4" t="inlineStr">
        <is>
          <t>10 finding(s) cleared the evidence gates.</t>
        </is>
      </c>
    </row>
    <row r="6" ht="20" customHeight="1">
      <c r="A6" s="24" t="n">
        <v>1</v>
      </c>
      <c r="B6" s="59" t="inlineStr">
        <is>
          <t>Act on this</t>
        </is>
      </c>
      <c r="C6" s="60" t="inlineStr">
        <is>
          <t>Trades routinely run most of the way to the stop</t>
        </is>
      </c>
    </row>
    <row r="7" ht="30" customHeight="1">
      <c r="B7" s="61" t="inlineStr">
        <is>
          <t>What the record shows</t>
        </is>
      </c>
      <c r="C7" s="25" t="inlineStr">
        <is>
          <t>Median heat 101.5% of the risk taken; p90 167.0%.</t>
        </is>
      </c>
    </row>
    <row r="8" ht="30" customHeight="1">
      <c r="B8" s="61" t="inlineStr">
        <is>
          <t>Evidence and gate</t>
        </is>
      </c>
      <c r="C8" s="25" t="inlineStr">
        <is>
          <t>Measured on 73 trades with excursion data. Gate: median heat at or above 90%.</t>
        </is>
      </c>
    </row>
    <row r="9" ht="30" customHeight="1">
      <c r="B9" s="61" t="inlineStr">
        <is>
          <t>What to do</t>
        </is>
      </c>
      <c r="C9" s="25" t="inlineStr">
        <is>
          <t>Either the entries are early or the stops are tight. Check average MAE on winners on the Excursions sheet: if winners also run hot, the entries are the problem.</t>
        </is>
      </c>
    </row>
    <row r="10">
      <c r="A10" s="62" t="n"/>
      <c r="B10" s="62" t="n"/>
      <c r="C10" s="62" t="n"/>
      <c r="D10" s="62" t="n"/>
      <c r="E10" s="62" t="n"/>
      <c r="F10" s="62" t="n"/>
      <c r="G10" s="62" t="n"/>
      <c r="H10" s="62" t="n"/>
      <c r="I10" s="62" t="n"/>
      <c r="J10" s="62" t="n"/>
      <c r="K10" s="62" t="n"/>
      <c r="L10" s="62" t="n"/>
    </row>
    <row r="12" ht="20" customHeight="1">
      <c r="A12" s="24" t="n">
        <v>2</v>
      </c>
      <c r="B12" s="59" t="inlineStr">
        <is>
          <t>Act on this</t>
        </is>
      </c>
      <c r="C12" s="60" t="inlineStr">
        <is>
          <t>Half-won trades are being allowed to become losses</t>
        </is>
      </c>
    </row>
    <row r="13" ht="30" customHeight="1">
      <c r="B13" s="61" t="inlineStr">
        <is>
          <t>What the record shows</t>
        </is>
      </c>
      <c r="C13" s="25" t="inlineStr">
        <is>
          <t>25 of 49 losing trades (51%) had reached 0.5R in profit.</t>
        </is>
      </c>
    </row>
    <row r="14" ht="30" customHeight="1">
      <c r="B14" s="61" t="inlineStr">
        <is>
          <t>Evidence and gate</t>
        </is>
      </c>
      <c r="C14" s="25" t="inlineStr">
        <is>
          <t>Gate: at least 35% of losers, minimum 8 losers, and each one had to reach 0.5R - a lower bar would count tick noise as a giveback.</t>
        </is>
      </c>
    </row>
    <row r="15" ht="30" customHeight="1">
      <c r="B15" s="61" t="inlineStr">
        <is>
          <t>What to do</t>
        </is>
      </c>
      <c r="C15" s="25" t="inlineStr">
        <is>
          <t>A stop to breakeven once a trade reaches 1R would convert these to scratches. Test it on the Trades sheet before adopting it: it also cuts some eventual winners.</t>
        </is>
      </c>
    </row>
    <row r="16">
      <c r="A16" s="62" t="n"/>
      <c r="B16" s="62" t="n"/>
      <c r="C16" s="62" t="n"/>
      <c r="D16" s="62" t="n"/>
      <c r="E16" s="62" t="n"/>
      <c r="F16" s="62" t="n"/>
      <c r="G16" s="62" t="n"/>
      <c r="H16" s="62" t="n"/>
      <c r="I16" s="62" t="n"/>
      <c r="J16" s="62" t="n"/>
      <c r="K16" s="62" t="n"/>
      <c r="L16" s="62" t="n"/>
    </row>
    <row r="18" ht="20" customHeight="1">
      <c r="A18" s="24" t="n">
        <v>3</v>
      </c>
      <c r="B18" s="59" t="inlineStr">
        <is>
          <t>Act on this</t>
        </is>
      </c>
      <c r="C18" s="60" t="inlineStr">
        <is>
          <t>One session is carrying most of the losses</t>
        </is>
      </c>
    </row>
    <row r="19" ht="30" customHeight="1">
      <c r="B19" s="61" t="inlineStr">
        <is>
          <t>What the record shows</t>
        </is>
      </c>
      <c r="C19" s="25" t="inlineStr">
        <is>
          <t>Session "NY Late" lost -57.0 across 30 trades, at a 23.3% win rate.</t>
        </is>
      </c>
    </row>
    <row r="20" ht="30" customHeight="1">
      <c r="B20" s="61" t="inlineStr">
        <is>
          <t>Evidence and gate</t>
        </is>
      </c>
      <c r="C20" s="25" t="inlineStr">
        <is>
          <t>That is 57% of the account's net result. Gate: at least 8 trades in the slice and a loss worth 25% or more of net.</t>
        </is>
      </c>
    </row>
    <row r="21" ht="30" customHeight="1">
      <c r="B21" s="61" t="inlineStr">
        <is>
          <t>What to do</t>
        </is>
      </c>
      <c r="C21" s="25" t="inlineStr">
        <is>
          <t>Stop trading this session for 20 trades and compare the account's net over that stretch. If it improves, the slice was the problem, not the sample.</t>
        </is>
      </c>
    </row>
    <row r="22">
      <c r="A22" s="62" t="n"/>
      <c r="B22" s="62" t="n"/>
      <c r="C22" s="62" t="n"/>
      <c r="D22" s="62" t="n"/>
      <c r="E22" s="62" t="n"/>
      <c r="F22" s="62" t="n"/>
      <c r="G22" s="62" t="n"/>
      <c r="H22" s="62" t="n"/>
      <c r="I22" s="62" t="n"/>
      <c r="J22" s="62" t="n"/>
      <c r="K22" s="62" t="n"/>
      <c r="L22" s="62" t="n"/>
    </row>
    <row r="24" ht="20" customHeight="1">
      <c r="A24" s="24" t="n">
        <v>4</v>
      </c>
      <c r="B24" s="59" t="inlineStr">
        <is>
          <t>Act on this</t>
        </is>
      </c>
      <c r="C24" s="60" t="inlineStr">
        <is>
          <t>One holding time is carrying most of the losses</t>
        </is>
      </c>
    </row>
    <row r="25" ht="30" customHeight="1">
      <c r="B25" s="61" t="inlineStr">
        <is>
          <t>What the record shows</t>
        </is>
      </c>
      <c r="C25" s="25" t="inlineStr">
        <is>
          <t>Duration Band "B. 1-5 min" lost -51.54 across 14 trades, at a 7.1% win rate.</t>
        </is>
      </c>
    </row>
    <row r="26" ht="30" customHeight="1">
      <c r="B26" s="61" t="inlineStr">
        <is>
          <t>Evidence and gate</t>
        </is>
      </c>
      <c r="C26" s="25" t="inlineStr">
        <is>
          <t>That is 51% of the account's net result. Gate: at least 8 trades in the slice and a loss worth 25% or more of net.</t>
        </is>
      </c>
    </row>
    <row r="27" ht="30" customHeight="1">
      <c r="B27" s="61" t="inlineStr">
        <is>
          <t>What to do</t>
        </is>
      </c>
      <c r="C27" s="25" t="inlineStr">
        <is>
          <t>Stop trading this holding time for 20 trades and compare the account's net over that stretch. If it improves, the slice was the problem, not the sample.</t>
        </is>
      </c>
    </row>
    <row r="28">
      <c r="A28" s="62" t="n"/>
      <c r="B28" s="62" t="n"/>
      <c r="C28" s="62" t="n"/>
      <c r="D28" s="62" t="n"/>
      <c r="E28" s="62" t="n"/>
      <c r="F28" s="62" t="n"/>
      <c r="G28" s="62" t="n"/>
      <c r="H28" s="62" t="n"/>
      <c r="I28" s="62" t="n"/>
      <c r="J28" s="62" t="n"/>
      <c r="K28" s="62" t="n"/>
      <c r="L28" s="62" t="n"/>
    </row>
    <row r="30" ht="20" customHeight="1">
      <c r="A30" s="24" t="n">
        <v>5</v>
      </c>
      <c r="B30" s="63" t="inlineStr">
        <is>
          <t>Worth watching</t>
        </is>
      </c>
      <c r="C30" s="60" t="inlineStr">
        <is>
          <t>The edge is real but thin</t>
        </is>
      </c>
    </row>
    <row r="31" ht="30" customHeight="1">
      <c r="B31" s="61" t="inlineStr">
        <is>
          <t>What the record shows</t>
        </is>
      </c>
      <c r="C31" s="25" t="inlineStr">
        <is>
          <t>Win rate 31.51% against a breakeven requirement of 25.9% at a 2.86 payoff.</t>
        </is>
      </c>
    </row>
    <row r="32" ht="30" customHeight="1">
      <c r="B32" s="61" t="inlineStr">
        <is>
          <t>Evidence and gate</t>
        </is>
      </c>
      <c r="C32" s="25" t="inlineStr">
        <is>
          <t>That leaves 5.6 points of margin over 73 trades. Gate: positive but under 6 points.</t>
        </is>
      </c>
    </row>
    <row r="33" ht="30" customHeight="1">
      <c r="B33" s="61" t="inlineStr">
        <is>
          <t>What to do</t>
        </is>
      </c>
      <c r="C33" s="25" t="inlineStr">
        <is>
          <t>Widen the margin before adding size. Either the payoff or the win rate has to move; costs alone can erase this.</t>
        </is>
      </c>
    </row>
    <row r="34">
      <c r="A34" s="62" t="n"/>
      <c r="B34" s="62" t="n"/>
      <c r="C34" s="62" t="n"/>
      <c r="D34" s="62" t="n"/>
      <c r="E34" s="62" t="n"/>
      <c r="F34" s="62" t="n"/>
      <c r="G34" s="62" t="n"/>
      <c r="H34" s="62" t="n"/>
      <c r="I34" s="62" t="n"/>
      <c r="J34" s="62" t="n"/>
      <c r="K34" s="62" t="n"/>
      <c r="L34" s="62" t="n"/>
    </row>
    <row r="36" ht="20" customHeight="1">
      <c r="A36" s="24" t="n">
        <v>6</v>
      </c>
      <c r="B36" s="63" t="inlineStr">
        <is>
          <t>Worth watching</t>
        </is>
      </c>
      <c r="C36" s="60" t="inlineStr">
        <is>
          <t>One session is producing most of the profit</t>
        </is>
      </c>
    </row>
    <row r="37" ht="30" customHeight="1">
      <c r="B37" s="61" t="inlineStr">
        <is>
          <t>What the record shows</t>
        </is>
      </c>
      <c r="C37" s="25" t="inlineStr">
        <is>
          <t>Session "London" made 90.04 across 10 trades, at a 50.0% win rate.</t>
        </is>
      </c>
    </row>
    <row r="38" ht="30" customHeight="1">
      <c r="B38" s="61" t="inlineStr">
        <is>
          <t>Evidence and gate</t>
        </is>
      </c>
      <c r="C38" s="25" t="inlineStr">
        <is>
          <t>That is 89% of net. Gate: at least 8 trades and 40% or more of net. Read this as concentration, which cuts both ways.</t>
        </is>
      </c>
    </row>
    <row r="39" ht="30" customHeight="1">
      <c r="B39" s="61" t="inlineStr">
        <is>
          <t>What to do</t>
        </is>
      </c>
      <c r="C39" s="25" t="inlineStr">
        <is>
          <t>Know that the account currently depends on this session. Either deliberately specialise in it, or build a second edge before this one stops working.</t>
        </is>
      </c>
    </row>
    <row r="40">
      <c r="A40" s="62" t="n"/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/>
    </row>
    <row r="42" ht="20" customHeight="1">
      <c r="A42" s="24" t="n">
        <v>7</v>
      </c>
      <c r="B42" s="63" t="inlineStr">
        <is>
          <t>Worth watching</t>
        </is>
      </c>
      <c r="C42" s="60" t="inlineStr">
        <is>
          <t>One instrument is producing most of the profit</t>
        </is>
      </c>
    </row>
    <row r="43" ht="30" customHeight="1">
      <c r="B43" s="61" t="inlineStr">
        <is>
          <t>What the record shows</t>
        </is>
      </c>
      <c r="C43" s="25" t="inlineStr">
        <is>
          <t>Symbol "XAUUSD" made 95.37 across 17 trades, at a 35.3% win rate.</t>
        </is>
      </c>
    </row>
    <row r="44" ht="30" customHeight="1">
      <c r="B44" s="61" t="inlineStr">
        <is>
          <t>Evidence and gate</t>
        </is>
      </c>
      <c r="C44" s="25" t="inlineStr">
        <is>
          <t>That is 95% of net. Gate: at least 8 trades and 40% or more of net. Read this as concentration, which cuts both ways.</t>
        </is>
      </c>
    </row>
    <row r="45" ht="30" customHeight="1">
      <c r="B45" s="61" t="inlineStr">
        <is>
          <t>What to do</t>
        </is>
      </c>
      <c r="C45" s="25" t="inlineStr">
        <is>
          <t>Know that the account currently depends on this instrument. Either deliberately specialise in it, or build a second edge before this one stops working.</t>
        </is>
      </c>
    </row>
    <row r="46">
      <c r="A46" s="62" t="n"/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/>
    </row>
    <row r="48" ht="20" customHeight="1">
      <c r="A48" s="24" t="n">
        <v>8</v>
      </c>
      <c r="B48" s="63" t="inlineStr">
        <is>
          <t>Worth watching</t>
        </is>
      </c>
      <c r="C48" s="60" t="inlineStr">
        <is>
          <t>One weekday is producing most of the profit</t>
        </is>
      </c>
    </row>
    <row r="49" ht="30" customHeight="1">
      <c r="B49" s="61" t="inlineStr">
        <is>
          <t>What the record shows</t>
        </is>
      </c>
      <c r="C49" s="25" t="inlineStr">
        <is>
          <t>Weekday "Monday" made 62.68 across 19 trades, at a 36.8% win rate.</t>
        </is>
      </c>
    </row>
    <row r="50" ht="30" customHeight="1">
      <c r="B50" s="61" t="inlineStr">
        <is>
          <t>Evidence and gate</t>
        </is>
      </c>
      <c r="C50" s="25" t="inlineStr">
        <is>
          <t>That is 62% of net. Gate: at least 8 trades and 40% or more of net. Read this as concentration, which cuts both ways.</t>
        </is>
      </c>
    </row>
    <row r="51" ht="30" customHeight="1">
      <c r="B51" s="61" t="inlineStr">
        <is>
          <t>What to do</t>
        </is>
      </c>
      <c r="C51" s="25" t="inlineStr">
        <is>
          <t>Know that the account currently depends on this weekday. Either deliberately specialise in it, or build a second edge before this one stops working.</t>
        </is>
      </c>
    </row>
    <row r="52">
      <c r="A52" s="62" t="n"/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</row>
    <row r="54" ht="20" customHeight="1">
      <c r="A54" s="24" t="n">
        <v>9</v>
      </c>
      <c r="B54" s="63" t="inlineStr">
        <is>
          <t>Worth watching</t>
        </is>
      </c>
      <c r="C54" s="60" t="inlineStr">
        <is>
          <t>One holding time is producing most of the profit</t>
        </is>
      </c>
    </row>
    <row r="55" ht="30" customHeight="1">
      <c r="B55" s="61" t="inlineStr">
        <is>
          <t>What the record shows</t>
        </is>
      </c>
      <c r="C55" s="25" t="inlineStr">
        <is>
          <t>Duration Band "D. 15-30 min" made 77.63 across 8 trades, at a 50.0% win rate.</t>
        </is>
      </c>
    </row>
    <row r="56" ht="30" customHeight="1">
      <c r="B56" s="61" t="inlineStr">
        <is>
          <t>Evidence and gate</t>
        </is>
      </c>
      <c r="C56" s="25" t="inlineStr">
        <is>
          <t>That is 77% of net. Gate: at least 8 trades and 40% or more of net. Read this as concentration, which cuts both ways.</t>
        </is>
      </c>
    </row>
    <row r="57" ht="30" customHeight="1">
      <c r="B57" s="61" t="inlineStr">
        <is>
          <t>What to do</t>
        </is>
      </c>
      <c r="C57" s="25" t="inlineStr">
        <is>
          <t>Know that the account currently depends on this holding time. Either deliberately specialise in it, or build a second edge before this one stops working.</t>
        </is>
      </c>
    </row>
    <row r="58">
      <c r="A58" s="62" t="n"/>
      <c r="B58" s="62" t="n"/>
      <c r="C58" s="62" t="n"/>
      <c r="D58" s="62" t="n"/>
      <c r="E58" s="62" t="n"/>
      <c r="F58" s="62" t="n"/>
      <c r="G58" s="62" t="n"/>
      <c r="H58" s="62" t="n"/>
      <c r="I58" s="62" t="n"/>
      <c r="J58" s="62" t="n"/>
      <c r="K58" s="62" t="n"/>
      <c r="L58" s="62" t="n"/>
    </row>
    <row r="60" ht="20" customHeight="1">
      <c r="A60" s="24" t="n">
        <v>10</v>
      </c>
      <c r="B60" s="64" t="inlineStr">
        <is>
          <t>Strength</t>
        </is>
      </c>
      <c r="C60" s="60" t="inlineStr">
        <is>
          <t>Exits on winners are efficient</t>
        </is>
      </c>
    </row>
    <row r="61" ht="30" customHeight="1">
      <c r="B61" s="61" t="inlineStr">
        <is>
          <t>What the record shows</t>
        </is>
      </c>
      <c r="C61" s="25" t="inlineStr">
        <is>
          <t>Winners kept 93% of what they were offered.</t>
        </is>
      </c>
    </row>
    <row r="62" ht="30" customHeight="1">
      <c r="B62" s="61" t="inlineStr">
        <is>
          <t>Evidence and gate</t>
        </is>
      </c>
      <c r="C62" s="25" t="inlineStr">
        <is>
          <t>Median winner capture 0.988. This is a strength worth protecting, not a problem.</t>
        </is>
      </c>
    </row>
    <row r="63" ht="30" customHeight="1">
      <c r="B63" s="61" t="inlineStr">
        <is>
          <t>What to do</t>
        </is>
      </c>
      <c r="C63" s="25" t="inlineStr">
        <is>
          <t>Leave the exit rule alone. If profit needs to grow, it has to come from entries or size, not from holding longer.</t>
        </is>
      </c>
    </row>
    <row r="64">
      <c r="A64" s="62" t="n"/>
      <c r="B64" s="62" t="n"/>
      <c r="C64" s="62" t="n"/>
      <c r="D64" s="62" t="n"/>
      <c r="E64" s="62" t="n"/>
      <c r="F64" s="62" t="n"/>
      <c r="G64" s="62" t="n"/>
      <c r="H64" s="62" t="n"/>
      <c r="I64" s="62" t="n"/>
      <c r="J64" s="62" t="n"/>
      <c r="K64" s="62" t="n"/>
      <c r="L64" s="62" t="n"/>
    </row>
  </sheetData>
  <mergeCells count="42">
    <mergeCell ref="C27:L27"/>
    <mergeCell ref="C61:L61"/>
    <mergeCell ref="C39:L39"/>
    <mergeCell ref="C8:L8"/>
    <mergeCell ref="C48:L48"/>
    <mergeCell ref="C7:L7"/>
    <mergeCell ref="C32:L32"/>
    <mergeCell ref="C38:L38"/>
    <mergeCell ref="C13:L13"/>
    <mergeCell ref="A2:L2"/>
    <mergeCell ref="C19:L19"/>
    <mergeCell ref="C37:L37"/>
    <mergeCell ref="C57:L57"/>
    <mergeCell ref="C18:L18"/>
    <mergeCell ref="C49:L49"/>
    <mergeCell ref="C30:L30"/>
    <mergeCell ref="C15:L15"/>
    <mergeCell ref="C6:L6"/>
    <mergeCell ref="C24:L24"/>
    <mergeCell ref="C42:L42"/>
    <mergeCell ref="C62:L62"/>
    <mergeCell ref="C33:L33"/>
    <mergeCell ref="C14:L14"/>
    <mergeCell ref="C45:L45"/>
    <mergeCell ref="C26:L26"/>
    <mergeCell ref="C20:L20"/>
    <mergeCell ref="C63:L63"/>
    <mergeCell ref="C54:L54"/>
    <mergeCell ref="C50:L50"/>
    <mergeCell ref="C25:L25"/>
    <mergeCell ref="C44:L44"/>
    <mergeCell ref="C55:L55"/>
    <mergeCell ref="C31:L31"/>
    <mergeCell ref="C9:L9"/>
    <mergeCell ref="A1:L1"/>
    <mergeCell ref="C56:L56"/>
    <mergeCell ref="C21:L21"/>
    <mergeCell ref="C43:L43"/>
    <mergeCell ref="C12:L12"/>
    <mergeCell ref="C51:L51"/>
    <mergeCell ref="C60:L60"/>
    <mergeCell ref="C36:L36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66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8" customWidth="1" min="5" max="5"/>
    <col width="10" customWidth="1" min="6" max="6"/>
    <col width="12" customWidth="1" min="7" max="7"/>
    <col width="46" customWidth="1" min="8" max="8"/>
    <col width="30" customWidth="1" min="9" max="9"/>
  </cols>
  <sheetData>
    <row r="1" ht="34" customHeight="1">
      <c r="A1" s="1" t="inlineStr">
        <is>
          <t>Chart index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18" customHeight="1">
      <c r="A2" s="3" t="inlineStr">
        <is>
          <t>Every rendered shot, linked. Nine images per position: open and close at M15, M5 and M1, a single close at H1 and H4, and one entry-to-exit frame. Candles only - no indicators, no objects.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 ht="26" customHeight="1">
      <c r="A4" s="22" t="inlineStr">
        <is>
          <t>#</t>
        </is>
      </c>
      <c r="B4" s="22" t="inlineStr">
        <is>
          <t>Ticket</t>
        </is>
      </c>
      <c r="C4" s="22" t="inlineStr">
        <is>
          <t>Symbol</t>
        </is>
      </c>
      <c r="D4" s="22" t="inlineStr">
        <is>
          <t>Side</t>
        </is>
      </c>
      <c r="E4" s="22" t="inlineStr">
        <is>
          <t>TF</t>
        </is>
      </c>
      <c r="F4" s="22" t="inlineStr">
        <is>
          <t>Event</t>
        </is>
      </c>
      <c r="G4" s="22" t="inlineStr">
        <is>
          <t>Outcome</t>
        </is>
      </c>
      <c r="H4" s="22" t="inlineStr">
        <is>
          <t>Image</t>
        </is>
      </c>
      <c r="I4" s="22" t="inlineStr">
        <is>
          <t>Folder</t>
        </is>
      </c>
    </row>
    <row r="5">
      <c r="A5" s="24" t="n">
        <v>1</v>
      </c>
      <c r="B5" s="26" t="n">
        <v>55869735</v>
      </c>
      <c r="C5" s="27" t="inlineStr">
        <is>
          <t>DJIUSD</t>
        </is>
      </c>
      <c r="D5" s="27" t="inlineStr">
        <is>
          <t>buy</t>
        </is>
      </c>
      <c r="E5" s="27" t="inlineStr">
        <is>
          <t>H4</t>
        </is>
      </c>
      <c r="F5" s="27" t="inlineStr">
        <is>
          <t>close</t>
        </is>
      </c>
      <c r="G5" s="27" t="inlineStr">
        <is>
          <t>Loss</t>
        </is>
      </c>
      <c r="H5" s="65" t="inlineStr">
        <is>
          <t>10_55869735_DJIUSD_buy_H4_close_2026-07-29-135043.png</t>
        </is>
      </c>
      <c r="I5" s="23" t="inlineStr">
        <is>
          <t>3214929/DJIUSD/2026-07-29_55869735_DJIUSD_buy_loss</t>
        </is>
      </c>
    </row>
    <row r="6">
      <c r="A6" s="24" t="n">
        <v>1</v>
      </c>
      <c r="B6" s="26" t="n">
        <v>55869735</v>
      </c>
      <c r="C6" s="27" t="inlineStr">
        <is>
          <t>DJIUSD</t>
        </is>
      </c>
      <c r="D6" s="27" t="inlineStr">
        <is>
          <t>buy</t>
        </is>
      </c>
      <c r="E6" s="27" t="inlineStr">
        <is>
          <t>H1</t>
        </is>
      </c>
      <c r="F6" s="27" t="inlineStr">
        <is>
          <t>close</t>
        </is>
      </c>
      <c r="G6" s="27" t="inlineStr">
        <is>
          <t>Loss</t>
        </is>
      </c>
      <c r="H6" s="65" t="inlineStr">
        <is>
          <t>20_55869735_DJIUSD_buy_H1_close_2026-07-29-135043.png</t>
        </is>
      </c>
      <c r="I6" s="23" t="inlineStr">
        <is>
          <t>3214929/DJIUSD/2026-07-29_55869735_DJIUSD_buy_loss</t>
        </is>
      </c>
    </row>
    <row r="7">
      <c r="A7" s="24" t="n">
        <v>1</v>
      </c>
      <c r="B7" s="26" t="n">
        <v>55869735</v>
      </c>
      <c r="C7" s="27" t="inlineStr">
        <is>
          <t>DJIUSD</t>
        </is>
      </c>
      <c r="D7" s="27" t="inlineStr">
        <is>
          <t>buy</t>
        </is>
      </c>
      <c r="E7" s="27" t="inlineStr">
        <is>
          <t>M15</t>
        </is>
      </c>
      <c r="F7" s="27" t="inlineStr">
        <is>
          <t>close</t>
        </is>
      </c>
      <c r="G7" s="27" t="inlineStr">
        <is>
          <t>Loss</t>
        </is>
      </c>
      <c r="H7" s="65" t="inlineStr">
        <is>
          <t>30_55869735_DJIUSD_buy_M15_close_2026-07-29-135043.png</t>
        </is>
      </c>
      <c r="I7" s="23" t="inlineStr">
        <is>
          <t>3214929/DJIUSD/2026-07-29_55869735_DJIUSD_buy_loss</t>
        </is>
      </c>
    </row>
    <row r="8">
      <c r="A8" s="24" t="n">
        <v>1</v>
      </c>
      <c r="B8" s="26" t="n">
        <v>55869735</v>
      </c>
      <c r="C8" s="27" t="inlineStr">
        <is>
          <t>DJIUSD</t>
        </is>
      </c>
      <c r="D8" s="27" t="inlineStr">
        <is>
          <t>buy</t>
        </is>
      </c>
      <c r="E8" s="27" t="inlineStr">
        <is>
          <t>M15</t>
        </is>
      </c>
      <c r="F8" s="27" t="inlineStr">
        <is>
          <t>open</t>
        </is>
      </c>
      <c r="G8" s="27" t="inlineStr">
        <is>
          <t>Loss</t>
        </is>
      </c>
      <c r="H8" s="65" t="inlineStr">
        <is>
          <t>30_55869735_DJIUSD_buy_M15_open_2026-07-29-133033.png</t>
        </is>
      </c>
      <c r="I8" s="23" t="inlineStr">
        <is>
          <t>3214929/DJIUSD/2026-07-29_55869735_DJIUSD_buy_loss</t>
        </is>
      </c>
    </row>
    <row r="9">
      <c r="A9" s="24" t="n">
        <v>1</v>
      </c>
      <c r="B9" s="26" t="n">
        <v>55869735</v>
      </c>
      <c r="C9" s="27" t="inlineStr">
        <is>
          <t>DJIUSD</t>
        </is>
      </c>
      <c r="D9" s="27" t="inlineStr">
        <is>
          <t>buy</t>
        </is>
      </c>
      <c r="E9" s="27" t="inlineStr">
        <is>
          <t>M5</t>
        </is>
      </c>
      <c r="F9" s="27" t="inlineStr">
        <is>
          <t>close</t>
        </is>
      </c>
      <c r="G9" s="27" t="inlineStr">
        <is>
          <t>Loss</t>
        </is>
      </c>
      <c r="H9" s="65" t="inlineStr">
        <is>
          <t>40_55869735_DJIUSD_buy_M5_close_2026-07-29-135043.png</t>
        </is>
      </c>
      <c r="I9" s="23" t="inlineStr">
        <is>
          <t>3214929/DJIUSD/2026-07-29_55869735_DJIUSD_buy_loss</t>
        </is>
      </c>
    </row>
    <row r="10">
      <c r="A10" s="24" t="n">
        <v>1</v>
      </c>
      <c r="B10" s="26" t="n">
        <v>55869735</v>
      </c>
      <c r="C10" s="27" t="inlineStr">
        <is>
          <t>DJIUSD</t>
        </is>
      </c>
      <c r="D10" s="27" t="inlineStr">
        <is>
          <t>buy</t>
        </is>
      </c>
      <c r="E10" s="27" t="inlineStr">
        <is>
          <t>M5</t>
        </is>
      </c>
      <c r="F10" s="27" t="inlineStr">
        <is>
          <t>open</t>
        </is>
      </c>
      <c r="G10" s="27" t="inlineStr">
        <is>
          <t>Loss</t>
        </is>
      </c>
      <c r="H10" s="65" t="inlineStr">
        <is>
          <t>40_55869735_DJIUSD_buy_M5_open_2026-07-29-133033.png</t>
        </is>
      </c>
      <c r="I10" s="23" t="inlineStr">
        <is>
          <t>3214929/DJIUSD/2026-07-29_55869735_DJIUSD_buy_loss</t>
        </is>
      </c>
    </row>
    <row r="11">
      <c r="A11" s="24" t="n">
        <v>1</v>
      </c>
      <c r="B11" s="26" t="n">
        <v>55869735</v>
      </c>
      <c r="C11" s="27" t="inlineStr">
        <is>
          <t>DJIUSD</t>
        </is>
      </c>
      <c r="D11" s="27" t="inlineStr">
        <is>
          <t>buy</t>
        </is>
      </c>
      <c r="E11" s="27" t="inlineStr">
        <is>
          <t>M1</t>
        </is>
      </c>
      <c r="F11" s="27" t="inlineStr">
        <is>
          <t>close</t>
        </is>
      </c>
      <c r="G11" s="27" t="inlineStr">
        <is>
          <t>Loss</t>
        </is>
      </c>
      <c r="H11" s="65" t="inlineStr">
        <is>
          <t>50_55869735_DJIUSD_buy_M1_close_2026-07-29-135043.png</t>
        </is>
      </c>
      <c r="I11" s="23" t="inlineStr">
        <is>
          <t>3214929/DJIUSD/2026-07-29_55869735_DJIUSD_buy_loss</t>
        </is>
      </c>
    </row>
    <row r="12">
      <c r="A12" s="24" t="n">
        <v>1</v>
      </c>
      <c r="B12" s="26" t="n">
        <v>55869735</v>
      </c>
      <c r="C12" s="27" t="inlineStr">
        <is>
          <t>DJIUSD</t>
        </is>
      </c>
      <c r="D12" s="27" t="inlineStr">
        <is>
          <t>buy</t>
        </is>
      </c>
      <c r="E12" s="27" t="inlineStr">
        <is>
          <t>M1</t>
        </is>
      </c>
      <c r="F12" s="27" t="inlineStr">
        <is>
          <t>journey</t>
        </is>
      </c>
      <c r="G12" s="27" t="inlineStr">
        <is>
          <t>Loss</t>
        </is>
      </c>
      <c r="H12" s="65" t="inlineStr">
        <is>
          <t>50_55869735_DJIUSD_buy_M1_journey_2026-07-29-133033.png</t>
        </is>
      </c>
      <c r="I12" s="23" t="inlineStr">
        <is>
          <t>3214929/DJIUSD/2026-07-29_55869735_DJIUSD_buy_loss</t>
        </is>
      </c>
    </row>
    <row r="13">
      <c r="A13" s="24" t="n">
        <v>1</v>
      </c>
      <c r="B13" s="26" t="n">
        <v>55869735</v>
      </c>
      <c r="C13" s="27" t="inlineStr">
        <is>
          <t>DJIUSD</t>
        </is>
      </c>
      <c r="D13" s="27" t="inlineStr">
        <is>
          <t>buy</t>
        </is>
      </c>
      <c r="E13" s="27" t="inlineStr">
        <is>
          <t>M1</t>
        </is>
      </c>
      <c r="F13" s="27" t="inlineStr">
        <is>
          <t>open</t>
        </is>
      </c>
      <c r="G13" s="27" t="inlineStr">
        <is>
          <t>Loss</t>
        </is>
      </c>
      <c r="H13" s="65" t="inlineStr">
        <is>
          <t>50_55869735_DJIUSD_buy_M1_open_2026-07-29-133033.png</t>
        </is>
      </c>
      <c r="I13" s="23" t="inlineStr">
        <is>
          <t>3214929/DJIUSD/2026-07-29_55869735_DJIUSD_buy_loss</t>
        </is>
      </c>
    </row>
    <row r="14">
      <c r="A14" s="24" t="n">
        <v>2</v>
      </c>
      <c r="B14" s="26" t="n">
        <v>55899455</v>
      </c>
      <c r="C14" s="27" t="inlineStr">
        <is>
          <t>DAXEUR</t>
        </is>
      </c>
      <c r="D14" s="27" t="inlineStr">
        <is>
          <t>sell</t>
        </is>
      </c>
      <c r="E14" s="27" t="inlineStr">
        <is>
          <t>H4</t>
        </is>
      </c>
      <c r="F14" s="27" t="inlineStr">
        <is>
          <t>close</t>
        </is>
      </c>
      <c r="G14" s="27" t="inlineStr">
        <is>
          <t>Loss</t>
        </is>
      </c>
      <c r="H14" s="65" t="inlineStr">
        <is>
          <t>10_55899455_DAXEUR_sell_H4_close_2026-07-29-140213.png</t>
        </is>
      </c>
      <c r="I14" s="23" t="inlineStr">
        <is>
          <t>3214929/DAXEUR/2026-07-29_55899455_DAXEUR_sell_loss</t>
        </is>
      </c>
    </row>
    <row r="15">
      <c r="A15" s="24" t="n">
        <v>2</v>
      </c>
      <c r="B15" s="26" t="n">
        <v>55899455</v>
      </c>
      <c r="C15" s="27" t="inlineStr">
        <is>
          <t>DAXEUR</t>
        </is>
      </c>
      <c r="D15" s="27" t="inlineStr">
        <is>
          <t>sell</t>
        </is>
      </c>
      <c r="E15" s="27" t="inlineStr">
        <is>
          <t>H1</t>
        </is>
      </c>
      <c r="F15" s="27" t="inlineStr">
        <is>
          <t>close</t>
        </is>
      </c>
      <c r="G15" s="27" t="inlineStr">
        <is>
          <t>Loss</t>
        </is>
      </c>
      <c r="H15" s="65" t="inlineStr">
        <is>
          <t>20_55899455_DAXEUR_sell_H1_close_2026-07-29-140213.png</t>
        </is>
      </c>
      <c r="I15" s="23" t="inlineStr">
        <is>
          <t>3214929/DAXEUR/2026-07-29_55899455_DAXEUR_sell_loss</t>
        </is>
      </c>
    </row>
    <row r="16">
      <c r="A16" s="24" t="n">
        <v>2</v>
      </c>
      <c r="B16" s="26" t="n">
        <v>55899455</v>
      </c>
      <c r="C16" s="27" t="inlineStr">
        <is>
          <t>DAXEUR</t>
        </is>
      </c>
      <c r="D16" s="27" t="inlineStr">
        <is>
          <t>sell</t>
        </is>
      </c>
      <c r="E16" s="27" t="inlineStr">
        <is>
          <t>M15</t>
        </is>
      </c>
      <c r="F16" s="27" t="inlineStr">
        <is>
          <t>close</t>
        </is>
      </c>
      <c r="G16" s="27" t="inlineStr">
        <is>
          <t>Loss</t>
        </is>
      </c>
      <c r="H16" s="65" t="inlineStr">
        <is>
          <t>30_55899455_DAXEUR_sell_M15_close_2026-07-29-140213.png</t>
        </is>
      </c>
      <c r="I16" s="23" t="inlineStr">
        <is>
          <t>3214929/DAXEUR/2026-07-29_55899455_DAXEUR_sell_loss</t>
        </is>
      </c>
    </row>
    <row r="17">
      <c r="A17" s="24" t="n">
        <v>2</v>
      </c>
      <c r="B17" s="26" t="n">
        <v>55899455</v>
      </c>
      <c r="C17" s="27" t="inlineStr">
        <is>
          <t>DAXEUR</t>
        </is>
      </c>
      <c r="D17" s="27" t="inlineStr">
        <is>
          <t>sell</t>
        </is>
      </c>
      <c r="E17" s="27" t="inlineStr">
        <is>
          <t>M15</t>
        </is>
      </c>
      <c r="F17" s="27" t="inlineStr">
        <is>
          <t>open</t>
        </is>
      </c>
      <c r="G17" s="27" t="inlineStr">
        <is>
          <t>Loss</t>
        </is>
      </c>
      <c r="H17" s="65" t="inlineStr">
        <is>
          <t>30_55899455_DAXEUR_sell_M15_open_2026-07-29-135312.png</t>
        </is>
      </c>
      <c r="I17" s="23" t="inlineStr">
        <is>
          <t>3214929/DAXEUR/2026-07-29_55899455_DAXEUR_sell_loss</t>
        </is>
      </c>
    </row>
    <row r="18">
      <c r="A18" s="24" t="n">
        <v>2</v>
      </c>
      <c r="B18" s="26" t="n">
        <v>55899455</v>
      </c>
      <c r="C18" s="27" t="inlineStr">
        <is>
          <t>DAXEUR</t>
        </is>
      </c>
      <c r="D18" s="27" t="inlineStr">
        <is>
          <t>sell</t>
        </is>
      </c>
      <c r="E18" s="27" t="inlineStr">
        <is>
          <t>M5</t>
        </is>
      </c>
      <c r="F18" s="27" t="inlineStr">
        <is>
          <t>close</t>
        </is>
      </c>
      <c r="G18" s="27" t="inlineStr">
        <is>
          <t>Loss</t>
        </is>
      </c>
      <c r="H18" s="65" t="inlineStr">
        <is>
          <t>40_55899455_DAXEUR_sell_M5_close_2026-07-29-140213.png</t>
        </is>
      </c>
      <c r="I18" s="23" t="inlineStr">
        <is>
          <t>3214929/DAXEUR/2026-07-29_55899455_DAXEUR_sell_loss</t>
        </is>
      </c>
    </row>
    <row r="19">
      <c r="A19" s="24" t="n">
        <v>2</v>
      </c>
      <c r="B19" s="26" t="n">
        <v>55899455</v>
      </c>
      <c r="C19" s="27" t="inlineStr">
        <is>
          <t>DAXEUR</t>
        </is>
      </c>
      <c r="D19" s="27" t="inlineStr">
        <is>
          <t>sell</t>
        </is>
      </c>
      <c r="E19" s="27" t="inlineStr">
        <is>
          <t>M5</t>
        </is>
      </c>
      <c r="F19" s="27" t="inlineStr">
        <is>
          <t>open</t>
        </is>
      </c>
      <c r="G19" s="27" t="inlineStr">
        <is>
          <t>Loss</t>
        </is>
      </c>
      <c r="H19" s="65" t="inlineStr">
        <is>
          <t>40_55899455_DAXEUR_sell_M5_open_2026-07-29-135312.png</t>
        </is>
      </c>
      <c r="I19" s="23" t="inlineStr">
        <is>
          <t>3214929/DAXEUR/2026-07-29_55899455_DAXEUR_sell_loss</t>
        </is>
      </c>
    </row>
    <row r="20">
      <c r="A20" s="24" t="n">
        <v>2</v>
      </c>
      <c r="B20" s="26" t="n">
        <v>55899455</v>
      </c>
      <c r="C20" s="27" t="inlineStr">
        <is>
          <t>DAXEUR</t>
        </is>
      </c>
      <c r="D20" s="27" t="inlineStr">
        <is>
          <t>sell</t>
        </is>
      </c>
      <c r="E20" s="27" t="inlineStr">
        <is>
          <t>M1</t>
        </is>
      </c>
      <c r="F20" s="27" t="inlineStr">
        <is>
          <t>close</t>
        </is>
      </c>
      <c r="G20" s="27" t="inlineStr">
        <is>
          <t>Loss</t>
        </is>
      </c>
      <c r="H20" s="65" t="inlineStr">
        <is>
          <t>50_55899455_DAXEUR_sell_M1_close_2026-07-29-140213.png</t>
        </is>
      </c>
      <c r="I20" s="23" t="inlineStr">
        <is>
          <t>3214929/DAXEUR/2026-07-29_55899455_DAXEUR_sell_loss</t>
        </is>
      </c>
    </row>
    <row r="21">
      <c r="A21" s="24" t="n">
        <v>2</v>
      </c>
      <c r="B21" s="26" t="n">
        <v>55899455</v>
      </c>
      <c r="C21" s="27" t="inlineStr">
        <is>
          <t>DAXEUR</t>
        </is>
      </c>
      <c r="D21" s="27" t="inlineStr">
        <is>
          <t>sell</t>
        </is>
      </c>
      <c r="E21" s="27" t="inlineStr">
        <is>
          <t>M1</t>
        </is>
      </c>
      <c r="F21" s="27" t="inlineStr">
        <is>
          <t>journey</t>
        </is>
      </c>
      <c r="G21" s="27" t="inlineStr">
        <is>
          <t>Loss</t>
        </is>
      </c>
      <c r="H21" s="65" t="inlineStr">
        <is>
          <t>50_55899455_DAXEUR_sell_M1_journey_2026-07-29-135312.png</t>
        </is>
      </c>
      <c r="I21" s="23" t="inlineStr">
        <is>
          <t>3214929/DAXEUR/2026-07-29_55899455_DAXEUR_sell_loss</t>
        </is>
      </c>
    </row>
    <row r="22">
      <c r="A22" s="24" t="n">
        <v>2</v>
      </c>
      <c r="B22" s="26" t="n">
        <v>55899455</v>
      </c>
      <c r="C22" s="27" t="inlineStr">
        <is>
          <t>DAXEUR</t>
        </is>
      </c>
      <c r="D22" s="27" t="inlineStr">
        <is>
          <t>sell</t>
        </is>
      </c>
      <c r="E22" s="27" t="inlineStr">
        <is>
          <t>M1</t>
        </is>
      </c>
      <c r="F22" s="27" t="inlineStr">
        <is>
          <t>open</t>
        </is>
      </c>
      <c r="G22" s="27" t="inlineStr">
        <is>
          <t>Loss</t>
        </is>
      </c>
      <c r="H22" s="65" t="inlineStr">
        <is>
          <t>50_55899455_DAXEUR_sell_M1_open_2026-07-29-135312.png</t>
        </is>
      </c>
      <c r="I22" s="23" t="inlineStr">
        <is>
          <t>3214929/DAXEUR/2026-07-29_55899455_DAXEUR_sell_loss</t>
        </is>
      </c>
    </row>
    <row r="23">
      <c r="A23" s="24" t="n">
        <v>3</v>
      </c>
      <c r="B23" s="26" t="n">
        <v>55923534</v>
      </c>
      <c r="C23" s="27" t="inlineStr">
        <is>
          <t>DJIUSD</t>
        </is>
      </c>
      <c r="D23" s="27" t="inlineStr">
        <is>
          <t>buy</t>
        </is>
      </c>
      <c r="E23" s="27" t="inlineStr">
        <is>
          <t>H4</t>
        </is>
      </c>
      <c r="F23" s="27" t="inlineStr">
        <is>
          <t>close</t>
        </is>
      </c>
      <c r="G23" s="27" t="inlineStr">
        <is>
          <t>Loss</t>
        </is>
      </c>
      <c r="H23" s="65" t="inlineStr">
        <is>
          <t>10_55923534_DJIUSD_buy_H4_close_2026-07-29-142601.png</t>
        </is>
      </c>
      <c r="I23" s="23" t="inlineStr">
        <is>
          <t>3214929/DJIUSD/2026-07-29_55923534_DJIUSD_buy_loss</t>
        </is>
      </c>
    </row>
    <row r="24">
      <c r="A24" s="24" t="n">
        <v>3</v>
      </c>
      <c r="B24" s="26" t="n">
        <v>55923534</v>
      </c>
      <c r="C24" s="27" t="inlineStr">
        <is>
          <t>DJIUSD</t>
        </is>
      </c>
      <c r="D24" s="27" t="inlineStr">
        <is>
          <t>buy</t>
        </is>
      </c>
      <c r="E24" s="27" t="inlineStr">
        <is>
          <t>H1</t>
        </is>
      </c>
      <c r="F24" s="27" t="inlineStr">
        <is>
          <t>close</t>
        </is>
      </c>
      <c r="G24" s="27" t="inlineStr">
        <is>
          <t>Loss</t>
        </is>
      </c>
      <c r="H24" s="65" t="inlineStr">
        <is>
          <t>20_55923534_DJIUSD_buy_H1_close_2026-07-29-142601.png</t>
        </is>
      </c>
      <c r="I24" s="23" t="inlineStr">
        <is>
          <t>3214929/DJIUSD/2026-07-29_55923534_DJIUSD_buy_loss</t>
        </is>
      </c>
    </row>
    <row r="25">
      <c r="A25" s="24" t="n">
        <v>3</v>
      </c>
      <c r="B25" s="26" t="n">
        <v>55923534</v>
      </c>
      <c r="C25" s="27" t="inlineStr">
        <is>
          <t>DJIUSD</t>
        </is>
      </c>
      <c r="D25" s="27" t="inlineStr">
        <is>
          <t>buy</t>
        </is>
      </c>
      <c r="E25" s="27" t="inlineStr">
        <is>
          <t>M15</t>
        </is>
      </c>
      <c r="F25" s="27" t="inlineStr">
        <is>
          <t>close</t>
        </is>
      </c>
      <c r="G25" s="27" t="inlineStr">
        <is>
          <t>Loss</t>
        </is>
      </c>
      <c r="H25" s="65" t="inlineStr">
        <is>
          <t>30_55923534_DJIUSD_buy_M15_close_2026-07-29-142601.png</t>
        </is>
      </c>
      <c r="I25" s="23" t="inlineStr">
        <is>
          <t>3214929/DJIUSD/2026-07-29_55923534_DJIUSD_buy_loss</t>
        </is>
      </c>
    </row>
    <row r="26">
      <c r="A26" s="24" t="n">
        <v>3</v>
      </c>
      <c r="B26" s="26" t="n">
        <v>55923534</v>
      </c>
      <c r="C26" s="27" t="inlineStr">
        <is>
          <t>DJIUSD</t>
        </is>
      </c>
      <c r="D26" s="27" t="inlineStr">
        <is>
          <t>buy</t>
        </is>
      </c>
      <c r="E26" s="27" t="inlineStr">
        <is>
          <t>M15</t>
        </is>
      </c>
      <c r="F26" s="27" t="inlineStr">
        <is>
          <t>open</t>
        </is>
      </c>
      <c r="G26" s="27" t="inlineStr">
        <is>
          <t>Loss</t>
        </is>
      </c>
      <c r="H26" s="65" t="inlineStr">
        <is>
          <t>30_55923534_DJIUSD_buy_M15_open_2026-07-29-141356.png</t>
        </is>
      </c>
      <c r="I26" s="23" t="inlineStr">
        <is>
          <t>3214929/DJIUSD/2026-07-29_55923534_DJIUSD_buy_loss</t>
        </is>
      </c>
    </row>
    <row r="27">
      <c r="A27" s="24" t="n">
        <v>3</v>
      </c>
      <c r="B27" s="26" t="n">
        <v>55923534</v>
      </c>
      <c r="C27" s="27" t="inlineStr">
        <is>
          <t>DJIUSD</t>
        </is>
      </c>
      <c r="D27" s="27" t="inlineStr">
        <is>
          <t>buy</t>
        </is>
      </c>
      <c r="E27" s="27" t="inlineStr">
        <is>
          <t>M5</t>
        </is>
      </c>
      <c r="F27" s="27" t="inlineStr">
        <is>
          <t>close</t>
        </is>
      </c>
      <c r="G27" s="27" t="inlineStr">
        <is>
          <t>Loss</t>
        </is>
      </c>
      <c r="H27" s="65" t="inlineStr">
        <is>
          <t>40_55923534_DJIUSD_buy_M5_close_2026-07-29-142601.png</t>
        </is>
      </c>
      <c r="I27" s="23" t="inlineStr">
        <is>
          <t>3214929/DJIUSD/2026-07-29_55923534_DJIUSD_buy_loss</t>
        </is>
      </c>
    </row>
    <row r="28">
      <c r="A28" s="24" t="n">
        <v>3</v>
      </c>
      <c r="B28" s="26" t="n">
        <v>55923534</v>
      </c>
      <c r="C28" s="27" t="inlineStr">
        <is>
          <t>DJIUSD</t>
        </is>
      </c>
      <c r="D28" s="27" t="inlineStr">
        <is>
          <t>buy</t>
        </is>
      </c>
      <c r="E28" s="27" t="inlineStr">
        <is>
          <t>M5</t>
        </is>
      </c>
      <c r="F28" s="27" t="inlineStr">
        <is>
          <t>open</t>
        </is>
      </c>
      <c r="G28" s="27" t="inlineStr">
        <is>
          <t>Loss</t>
        </is>
      </c>
      <c r="H28" s="65" t="inlineStr">
        <is>
          <t>40_55923534_DJIUSD_buy_M5_open_2026-07-29-141356.png</t>
        </is>
      </c>
      <c r="I28" s="23" t="inlineStr">
        <is>
          <t>3214929/DJIUSD/2026-07-29_55923534_DJIUSD_buy_loss</t>
        </is>
      </c>
    </row>
    <row r="29">
      <c r="A29" s="24" t="n">
        <v>3</v>
      </c>
      <c r="B29" s="26" t="n">
        <v>55923534</v>
      </c>
      <c r="C29" s="27" t="inlineStr">
        <is>
          <t>DJIUSD</t>
        </is>
      </c>
      <c r="D29" s="27" t="inlineStr">
        <is>
          <t>buy</t>
        </is>
      </c>
      <c r="E29" s="27" t="inlineStr">
        <is>
          <t>M1</t>
        </is>
      </c>
      <c r="F29" s="27" t="inlineStr">
        <is>
          <t>close</t>
        </is>
      </c>
      <c r="G29" s="27" t="inlineStr">
        <is>
          <t>Loss</t>
        </is>
      </c>
      <c r="H29" s="65" t="inlineStr">
        <is>
          <t>50_55923534_DJIUSD_buy_M1_close_2026-07-29-142601.png</t>
        </is>
      </c>
      <c r="I29" s="23" t="inlineStr">
        <is>
          <t>3214929/DJIUSD/2026-07-29_55923534_DJIUSD_buy_loss</t>
        </is>
      </c>
    </row>
    <row r="30">
      <c r="A30" s="24" t="n">
        <v>3</v>
      </c>
      <c r="B30" s="26" t="n">
        <v>55923534</v>
      </c>
      <c r="C30" s="27" t="inlineStr">
        <is>
          <t>DJIUSD</t>
        </is>
      </c>
      <c r="D30" s="27" t="inlineStr">
        <is>
          <t>buy</t>
        </is>
      </c>
      <c r="E30" s="27" t="inlineStr">
        <is>
          <t>M1</t>
        </is>
      </c>
      <c r="F30" s="27" t="inlineStr">
        <is>
          <t>journey</t>
        </is>
      </c>
      <c r="G30" s="27" t="inlineStr">
        <is>
          <t>Loss</t>
        </is>
      </c>
      <c r="H30" s="65" t="inlineStr">
        <is>
          <t>50_55923534_DJIUSD_buy_M1_journey_2026-07-29-141356.png</t>
        </is>
      </c>
      <c r="I30" s="23" t="inlineStr">
        <is>
          <t>3214929/DJIUSD/2026-07-29_55923534_DJIUSD_buy_loss</t>
        </is>
      </c>
    </row>
    <row r="31">
      <c r="A31" s="24" t="n">
        <v>3</v>
      </c>
      <c r="B31" s="26" t="n">
        <v>55923534</v>
      </c>
      <c r="C31" s="27" t="inlineStr">
        <is>
          <t>DJIUSD</t>
        </is>
      </c>
      <c r="D31" s="27" t="inlineStr">
        <is>
          <t>buy</t>
        </is>
      </c>
      <c r="E31" s="27" t="inlineStr">
        <is>
          <t>M1</t>
        </is>
      </c>
      <c r="F31" s="27" t="inlineStr">
        <is>
          <t>open</t>
        </is>
      </c>
      <c r="G31" s="27" t="inlineStr">
        <is>
          <t>Loss</t>
        </is>
      </c>
      <c r="H31" s="65" t="inlineStr">
        <is>
          <t>50_55923534_DJIUSD_buy_M1_open_2026-07-29-141356.png</t>
        </is>
      </c>
      <c r="I31" s="23" t="inlineStr">
        <is>
          <t>3214929/DJIUSD/2026-07-29_55923534_DJIUSD_buy_loss</t>
        </is>
      </c>
    </row>
    <row r="32">
      <c r="A32" s="24" t="n">
        <v>4</v>
      </c>
      <c r="B32" s="26" t="n">
        <v>55942814</v>
      </c>
      <c r="C32" s="27" t="inlineStr">
        <is>
          <t>DJIUSD</t>
        </is>
      </c>
      <c r="D32" s="27" t="inlineStr">
        <is>
          <t>buy</t>
        </is>
      </c>
      <c r="E32" s="27" t="inlineStr">
        <is>
          <t>H4</t>
        </is>
      </c>
      <c r="F32" s="27" t="inlineStr">
        <is>
          <t>close</t>
        </is>
      </c>
      <c r="G32" s="27" t="inlineStr">
        <is>
          <t>Loss</t>
        </is>
      </c>
      <c r="H32" s="65" t="inlineStr">
        <is>
          <t>10_55942814_DJIUSD_buy_H4_close_2026-07-29-145720.png</t>
        </is>
      </c>
      <c r="I32" s="23" t="inlineStr">
        <is>
          <t>3214929/DJIUSD/2026-07-29_55942814_DJIUSD_buy_loss</t>
        </is>
      </c>
    </row>
    <row r="33">
      <c r="A33" s="24" t="n">
        <v>4</v>
      </c>
      <c r="B33" s="26" t="n">
        <v>55942814</v>
      </c>
      <c r="C33" s="27" t="inlineStr">
        <is>
          <t>DJIUSD</t>
        </is>
      </c>
      <c r="D33" s="27" t="inlineStr">
        <is>
          <t>buy</t>
        </is>
      </c>
      <c r="E33" s="27" t="inlineStr">
        <is>
          <t>H1</t>
        </is>
      </c>
      <c r="F33" s="27" t="inlineStr">
        <is>
          <t>close</t>
        </is>
      </c>
      <c r="G33" s="27" t="inlineStr">
        <is>
          <t>Loss</t>
        </is>
      </c>
      <c r="H33" s="65" t="inlineStr">
        <is>
          <t>20_55942814_DJIUSD_buy_H1_close_2026-07-29-145720.png</t>
        </is>
      </c>
      <c r="I33" s="23" t="inlineStr">
        <is>
          <t>3214929/DJIUSD/2026-07-29_55942814_DJIUSD_buy_loss</t>
        </is>
      </c>
    </row>
    <row r="34">
      <c r="A34" s="24" t="n">
        <v>4</v>
      </c>
      <c r="B34" s="26" t="n">
        <v>55942814</v>
      </c>
      <c r="C34" s="27" t="inlineStr">
        <is>
          <t>DJIUSD</t>
        </is>
      </c>
      <c r="D34" s="27" t="inlineStr">
        <is>
          <t>buy</t>
        </is>
      </c>
      <c r="E34" s="27" t="inlineStr">
        <is>
          <t>M15</t>
        </is>
      </c>
      <c r="F34" s="27" t="inlineStr">
        <is>
          <t>close</t>
        </is>
      </c>
      <c r="G34" s="27" t="inlineStr">
        <is>
          <t>Loss</t>
        </is>
      </c>
      <c r="H34" s="65" t="inlineStr">
        <is>
          <t>30_55942814_DJIUSD_buy_M15_close_2026-07-29-145720.png</t>
        </is>
      </c>
      <c r="I34" s="23" t="inlineStr">
        <is>
          <t>3214929/DJIUSD/2026-07-29_55942814_DJIUSD_buy_loss</t>
        </is>
      </c>
    </row>
    <row r="35">
      <c r="A35" s="24" t="n">
        <v>4</v>
      </c>
      <c r="B35" s="26" t="n">
        <v>55942814</v>
      </c>
      <c r="C35" s="27" t="inlineStr">
        <is>
          <t>DJIUSD</t>
        </is>
      </c>
      <c r="D35" s="27" t="inlineStr">
        <is>
          <t>buy</t>
        </is>
      </c>
      <c r="E35" s="27" t="inlineStr">
        <is>
          <t>M15</t>
        </is>
      </c>
      <c r="F35" s="27" t="inlineStr">
        <is>
          <t>open</t>
        </is>
      </c>
      <c r="G35" s="27" t="inlineStr">
        <is>
          <t>Loss</t>
        </is>
      </c>
      <c r="H35" s="65" t="inlineStr">
        <is>
          <t>30_55942814_DJIUSD_buy_M15_open_2026-07-29-144213.png</t>
        </is>
      </c>
      <c r="I35" s="23" t="inlineStr">
        <is>
          <t>3214929/DJIUSD/2026-07-29_55942814_DJIUSD_buy_loss</t>
        </is>
      </c>
    </row>
    <row r="36">
      <c r="A36" s="24" t="n">
        <v>4</v>
      </c>
      <c r="B36" s="26" t="n">
        <v>55942814</v>
      </c>
      <c r="C36" s="27" t="inlineStr">
        <is>
          <t>DJIUSD</t>
        </is>
      </c>
      <c r="D36" s="27" t="inlineStr">
        <is>
          <t>buy</t>
        </is>
      </c>
      <c r="E36" s="27" t="inlineStr">
        <is>
          <t>M5</t>
        </is>
      </c>
      <c r="F36" s="27" t="inlineStr">
        <is>
          <t>close</t>
        </is>
      </c>
      <c r="G36" s="27" t="inlineStr">
        <is>
          <t>Loss</t>
        </is>
      </c>
      <c r="H36" s="65" t="inlineStr">
        <is>
          <t>40_55942814_DJIUSD_buy_M5_close_2026-07-29-145720.png</t>
        </is>
      </c>
      <c r="I36" s="23" t="inlineStr">
        <is>
          <t>3214929/DJIUSD/2026-07-29_55942814_DJIUSD_buy_loss</t>
        </is>
      </c>
    </row>
    <row r="37">
      <c r="A37" s="24" t="n">
        <v>4</v>
      </c>
      <c r="B37" s="26" t="n">
        <v>55942814</v>
      </c>
      <c r="C37" s="27" t="inlineStr">
        <is>
          <t>DJIUSD</t>
        </is>
      </c>
      <c r="D37" s="27" t="inlineStr">
        <is>
          <t>buy</t>
        </is>
      </c>
      <c r="E37" s="27" t="inlineStr">
        <is>
          <t>M5</t>
        </is>
      </c>
      <c r="F37" s="27" t="inlineStr">
        <is>
          <t>open</t>
        </is>
      </c>
      <c r="G37" s="27" t="inlineStr">
        <is>
          <t>Loss</t>
        </is>
      </c>
      <c r="H37" s="65" t="inlineStr">
        <is>
          <t>40_55942814_DJIUSD_buy_M5_open_2026-07-29-144213.png</t>
        </is>
      </c>
      <c r="I37" s="23" t="inlineStr">
        <is>
          <t>3214929/DJIUSD/2026-07-29_55942814_DJIUSD_buy_loss</t>
        </is>
      </c>
    </row>
    <row r="38">
      <c r="A38" s="24" t="n">
        <v>4</v>
      </c>
      <c r="B38" s="26" t="n">
        <v>55942814</v>
      </c>
      <c r="C38" s="27" t="inlineStr">
        <is>
          <t>DJIUSD</t>
        </is>
      </c>
      <c r="D38" s="27" t="inlineStr">
        <is>
          <t>buy</t>
        </is>
      </c>
      <c r="E38" s="27" t="inlineStr">
        <is>
          <t>M1</t>
        </is>
      </c>
      <c r="F38" s="27" t="inlineStr">
        <is>
          <t>close</t>
        </is>
      </c>
      <c r="G38" s="27" t="inlineStr">
        <is>
          <t>Loss</t>
        </is>
      </c>
      <c r="H38" s="65" t="inlineStr">
        <is>
          <t>50_55942814_DJIUSD_buy_M1_close_2026-07-29-145720.png</t>
        </is>
      </c>
      <c r="I38" s="23" t="inlineStr">
        <is>
          <t>3214929/DJIUSD/2026-07-29_55942814_DJIUSD_buy_loss</t>
        </is>
      </c>
    </row>
    <row r="39">
      <c r="A39" s="24" t="n">
        <v>4</v>
      </c>
      <c r="B39" s="26" t="n">
        <v>55942814</v>
      </c>
      <c r="C39" s="27" t="inlineStr">
        <is>
          <t>DJIUSD</t>
        </is>
      </c>
      <c r="D39" s="27" t="inlineStr">
        <is>
          <t>buy</t>
        </is>
      </c>
      <c r="E39" s="27" t="inlineStr">
        <is>
          <t>M1</t>
        </is>
      </c>
      <c r="F39" s="27" t="inlineStr">
        <is>
          <t>journey</t>
        </is>
      </c>
      <c r="G39" s="27" t="inlineStr">
        <is>
          <t>Loss</t>
        </is>
      </c>
      <c r="H39" s="65" t="inlineStr">
        <is>
          <t>50_55942814_DJIUSD_buy_M1_journey_2026-07-29-144213.png</t>
        </is>
      </c>
      <c r="I39" s="23" t="inlineStr">
        <is>
          <t>3214929/DJIUSD/2026-07-29_55942814_DJIUSD_buy_loss</t>
        </is>
      </c>
    </row>
    <row r="40">
      <c r="A40" s="24" t="n">
        <v>4</v>
      </c>
      <c r="B40" s="26" t="n">
        <v>55942814</v>
      </c>
      <c r="C40" s="27" t="inlineStr">
        <is>
          <t>DJIUSD</t>
        </is>
      </c>
      <c r="D40" s="27" t="inlineStr">
        <is>
          <t>buy</t>
        </is>
      </c>
      <c r="E40" s="27" t="inlineStr">
        <is>
          <t>M1</t>
        </is>
      </c>
      <c r="F40" s="27" t="inlineStr">
        <is>
          <t>open</t>
        </is>
      </c>
      <c r="G40" s="27" t="inlineStr">
        <is>
          <t>Loss</t>
        </is>
      </c>
      <c r="H40" s="65" t="inlineStr">
        <is>
          <t>50_55942814_DJIUSD_buy_M1_open_2026-07-29-144213.png</t>
        </is>
      </c>
      <c r="I40" s="23" t="inlineStr">
        <is>
          <t>3214929/DJIUSD/2026-07-29_55942814_DJIUSD_buy_loss</t>
        </is>
      </c>
    </row>
    <row r="41">
      <c r="A41" s="24" t="n">
        <v>5</v>
      </c>
      <c r="B41" s="26" t="n">
        <v>55934591</v>
      </c>
      <c r="C41" s="27" t="inlineStr">
        <is>
          <t>DJIUSD</t>
        </is>
      </c>
      <c r="D41" s="27" t="inlineStr">
        <is>
          <t>buy</t>
        </is>
      </c>
      <c r="E41" s="27" t="inlineStr">
        <is>
          <t>H4</t>
        </is>
      </c>
      <c r="F41" s="27" t="inlineStr">
        <is>
          <t>close</t>
        </is>
      </c>
      <c r="G41" s="27" t="inlineStr">
        <is>
          <t>Loss</t>
        </is>
      </c>
      <c r="H41" s="65" t="inlineStr">
        <is>
          <t>10_55934591_DJIUSD_buy_H4_close_2026-07-29-152355.png</t>
        </is>
      </c>
      <c r="I41" s="23" t="inlineStr">
        <is>
          <t>3214929/DJIUSD/2026-07-29_55934591_DJIUSD_buy_loss</t>
        </is>
      </c>
    </row>
    <row r="42">
      <c r="A42" s="24" t="n">
        <v>5</v>
      </c>
      <c r="B42" s="26" t="n">
        <v>55934591</v>
      </c>
      <c r="C42" s="27" t="inlineStr">
        <is>
          <t>DJIUSD</t>
        </is>
      </c>
      <c r="D42" s="27" t="inlineStr">
        <is>
          <t>buy</t>
        </is>
      </c>
      <c r="E42" s="27" t="inlineStr">
        <is>
          <t>H1</t>
        </is>
      </c>
      <c r="F42" s="27" t="inlineStr">
        <is>
          <t>close</t>
        </is>
      </c>
      <c r="G42" s="27" t="inlineStr">
        <is>
          <t>Loss</t>
        </is>
      </c>
      <c r="H42" s="65" t="inlineStr">
        <is>
          <t>20_55934591_DJIUSD_buy_H1_close_2026-07-29-152355.png</t>
        </is>
      </c>
      <c r="I42" s="23" t="inlineStr">
        <is>
          <t>3214929/DJIUSD/2026-07-29_55934591_DJIUSD_buy_loss</t>
        </is>
      </c>
    </row>
    <row r="43">
      <c r="A43" s="24" t="n">
        <v>5</v>
      </c>
      <c r="B43" s="26" t="n">
        <v>55934591</v>
      </c>
      <c r="C43" s="27" t="inlineStr">
        <is>
          <t>DJIUSD</t>
        </is>
      </c>
      <c r="D43" s="27" t="inlineStr">
        <is>
          <t>buy</t>
        </is>
      </c>
      <c r="E43" s="27" t="inlineStr">
        <is>
          <t>M15</t>
        </is>
      </c>
      <c r="F43" s="27" t="inlineStr">
        <is>
          <t>close</t>
        </is>
      </c>
      <c r="G43" s="27" t="inlineStr">
        <is>
          <t>Loss</t>
        </is>
      </c>
      <c r="H43" s="65" t="inlineStr">
        <is>
          <t>30_55934591_DJIUSD_buy_M15_close_2026-07-29-152355.png</t>
        </is>
      </c>
      <c r="I43" s="23" t="inlineStr">
        <is>
          <t>3214929/DJIUSD/2026-07-29_55934591_DJIUSD_buy_loss</t>
        </is>
      </c>
    </row>
    <row r="44">
      <c r="A44" s="24" t="n">
        <v>5</v>
      </c>
      <c r="B44" s="26" t="n">
        <v>55934591</v>
      </c>
      <c r="C44" s="27" t="inlineStr">
        <is>
          <t>DJIUSD</t>
        </is>
      </c>
      <c r="D44" s="27" t="inlineStr">
        <is>
          <t>buy</t>
        </is>
      </c>
      <c r="E44" s="27" t="inlineStr">
        <is>
          <t>M15</t>
        </is>
      </c>
      <c r="F44" s="27" t="inlineStr">
        <is>
          <t>open</t>
        </is>
      </c>
      <c r="G44" s="27" t="inlineStr">
        <is>
          <t>Loss</t>
        </is>
      </c>
      <c r="H44" s="65" t="inlineStr">
        <is>
          <t>30_55934591_DJIUSD_buy_M15_open_2026-07-29-142723.png</t>
        </is>
      </c>
      <c r="I44" s="23" t="inlineStr">
        <is>
          <t>3214929/DJIUSD/2026-07-29_55934591_DJIUSD_buy_loss</t>
        </is>
      </c>
    </row>
    <row r="45">
      <c r="A45" s="24" t="n">
        <v>5</v>
      </c>
      <c r="B45" s="26" t="n">
        <v>55934591</v>
      </c>
      <c r="C45" s="27" t="inlineStr">
        <is>
          <t>DJIUSD</t>
        </is>
      </c>
      <c r="D45" s="27" t="inlineStr">
        <is>
          <t>buy</t>
        </is>
      </c>
      <c r="E45" s="27" t="inlineStr">
        <is>
          <t>M5</t>
        </is>
      </c>
      <c r="F45" s="27" t="inlineStr">
        <is>
          <t>close</t>
        </is>
      </c>
      <c r="G45" s="27" t="inlineStr">
        <is>
          <t>Loss</t>
        </is>
      </c>
      <c r="H45" s="65" t="inlineStr">
        <is>
          <t>40_55934591_DJIUSD_buy_M5_close_2026-07-29-152355.png</t>
        </is>
      </c>
      <c r="I45" s="23" t="inlineStr">
        <is>
          <t>3214929/DJIUSD/2026-07-29_55934591_DJIUSD_buy_loss</t>
        </is>
      </c>
    </row>
    <row r="46">
      <c r="A46" s="24" t="n">
        <v>5</v>
      </c>
      <c r="B46" s="26" t="n">
        <v>55934591</v>
      </c>
      <c r="C46" s="27" t="inlineStr">
        <is>
          <t>DJIUSD</t>
        </is>
      </c>
      <c r="D46" s="27" t="inlineStr">
        <is>
          <t>buy</t>
        </is>
      </c>
      <c r="E46" s="27" t="inlineStr">
        <is>
          <t>M5</t>
        </is>
      </c>
      <c r="F46" s="27" t="inlineStr">
        <is>
          <t>open</t>
        </is>
      </c>
      <c r="G46" s="27" t="inlineStr">
        <is>
          <t>Loss</t>
        </is>
      </c>
      <c r="H46" s="65" t="inlineStr">
        <is>
          <t>40_55934591_DJIUSD_buy_M5_open_2026-07-29-142723.png</t>
        </is>
      </c>
      <c r="I46" s="23" t="inlineStr">
        <is>
          <t>3214929/DJIUSD/2026-07-29_55934591_DJIUSD_buy_loss</t>
        </is>
      </c>
    </row>
    <row r="47">
      <c r="A47" s="24" t="n">
        <v>5</v>
      </c>
      <c r="B47" s="26" t="n">
        <v>55934591</v>
      </c>
      <c r="C47" s="27" t="inlineStr">
        <is>
          <t>DJIUSD</t>
        </is>
      </c>
      <c r="D47" s="27" t="inlineStr">
        <is>
          <t>buy</t>
        </is>
      </c>
      <c r="E47" s="27" t="inlineStr">
        <is>
          <t>M1</t>
        </is>
      </c>
      <c r="F47" s="27" t="inlineStr">
        <is>
          <t>close</t>
        </is>
      </c>
      <c r="G47" s="27" t="inlineStr">
        <is>
          <t>Loss</t>
        </is>
      </c>
      <c r="H47" s="65" t="inlineStr">
        <is>
          <t>50_55934591_DJIUSD_buy_M1_close_2026-07-29-152355.png</t>
        </is>
      </c>
      <c r="I47" s="23" t="inlineStr">
        <is>
          <t>3214929/DJIUSD/2026-07-29_55934591_DJIUSD_buy_loss</t>
        </is>
      </c>
    </row>
    <row r="48">
      <c r="A48" s="24" t="n">
        <v>5</v>
      </c>
      <c r="B48" s="26" t="n">
        <v>55934591</v>
      </c>
      <c r="C48" s="27" t="inlineStr">
        <is>
          <t>DJIUSD</t>
        </is>
      </c>
      <c r="D48" s="27" t="inlineStr">
        <is>
          <t>buy</t>
        </is>
      </c>
      <c r="E48" s="27" t="inlineStr">
        <is>
          <t>M1</t>
        </is>
      </c>
      <c r="F48" s="27" t="inlineStr">
        <is>
          <t>journey</t>
        </is>
      </c>
      <c r="G48" s="27" t="inlineStr">
        <is>
          <t>Loss</t>
        </is>
      </c>
      <c r="H48" s="65" t="inlineStr">
        <is>
          <t>50_55934591_DJIUSD_buy_M1_journey_2026-07-29-142723.png</t>
        </is>
      </c>
      <c r="I48" s="23" t="inlineStr">
        <is>
          <t>3214929/DJIUSD/2026-07-29_55934591_DJIUSD_buy_loss</t>
        </is>
      </c>
    </row>
    <row r="49">
      <c r="A49" s="24" t="n">
        <v>5</v>
      </c>
      <c r="B49" s="26" t="n">
        <v>55934591</v>
      </c>
      <c r="C49" s="27" t="inlineStr">
        <is>
          <t>DJIUSD</t>
        </is>
      </c>
      <c r="D49" s="27" t="inlineStr">
        <is>
          <t>buy</t>
        </is>
      </c>
      <c r="E49" s="27" t="inlineStr">
        <is>
          <t>M1</t>
        </is>
      </c>
      <c r="F49" s="27" t="inlineStr">
        <is>
          <t>open</t>
        </is>
      </c>
      <c r="G49" s="27" t="inlineStr">
        <is>
          <t>Loss</t>
        </is>
      </c>
      <c r="H49" s="65" t="inlineStr">
        <is>
          <t>50_55934591_DJIUSD_buy_M1_open_2026-07-29-142723.png</t>
        </is>
      </c>
      <c r="I49" s="23" t="inlineStr">
        <is>
          <t>3214929/DJIUSD/2026-07-29_55934591_DJIUSD_buy_loss</t>
        </is>
      </c>
    </row>
    <row r="50">
      <c r="A50" s="24" t="n">
        <v>6</v>
      </c>
      <c r="B50" s="26" t="n">
        <v>55973757</v>
      </c>
      <c r="C50" s="27" t="inlineStr">
        <is>
          <t>XAUUSD</t>
        </is>
      </c>
      <c r="D50" s="27" t="inlineStr">
        <is>
          <t>sell</t>
        </is>
      </c>
      <c r="E50" s="27" t="inlineStr">
        <is>
          <t>H4</t>
        </is>
      </c>
      <c r="F50" s="27" t="inlineStr">
        <is>
          <t>close</t>
        </is>
      </c>
      <c r="G50" s="27" t="inlineStr">
        <is>
          <t>Loss</t>
        </is>
      </c>
      <c r="H50" s="65" t="inlineStr">
        <is>
          <t>10_55973757_XAUUSD_sell_H4_close_2026-07-29-160722.png</t>
        </is>
      </c>
      <c r="I50" s="23" t="inlineStr">
        <is>
          <t>3214929/XAUUSD/2026-07-29_55973757_XAUUSD_sell_loss</t>
        </is>
      </c>
    </row>
    <row r="51">
      <c r="A51" s="24" t="n">
        <v>6</v>
      </c>
      <c r="B51" s="26" t="n">
        <v>55973757</v>
      </c>
      <c r="C51" s="27" t="inlineStr">
        <is>
          <t>XAUUSD</t>
        </is>
      </c>
      <c r="D51" s="27" t="inlineStr">
        <is>
          <t>sell</t>
        </is>
      </c>
      <c r="E51" s="27" t="inlineStr">
        <is>
          <t>H1</t>
        </is>
      </c>
      <c r="F51" s="27" t="inlineStr">
        <is>
          <t>close</t>
        </is>
      </c>
      <c r="G51" s="27" t="inlineStr">
        <is>
          <t>Loss</t>
        </is>
      </c>
      <c r="H51" s="65" t="inlineStr">
        <is>
          <t>20_55973757_XAUUSD_sell_H1_close_2026-07-29-160722.png</t>
        </is>
      </c>
      <c r="I51" s="23" t="inlineStr">
        <is>
          <t>3214929/XAUUSD/2026-07-29_55973757_XAUUSD_sell_loss</t>
        </is>
      </c>
    </row>
    <row r="52">
      <c r="A52" s="24" t="n">
        <v>6</v>
      </c>
      <c r="B52" s="26" t="n">
        <v>55973757</v>
      </c>
      <c r="C52" s="27" t="inlineStr">
        <is>
          <t>XAUUSD</t>
        </is>
      </c>
      <c r="D52" s="27" t="inlineStr">
        <is>
          <t>sell</t>
        </is>
      </c>
      <c r="E52" s="27" t="inlineStr">
        <is>
          <t>M15</t>
        </is>
      </c>
      <c r="F52" s="27" t="inlineStr">
        <is>
          <t>close</t>
        </is>
      </c>
      <c r="G52" s="27" t="inlineStr">
        <is>
          <t>Loss</t>
        </is>
      </c>
      <c r="H52" s="65" t="inlineStr">
        <is>
          <t>30_55973757_XAUUSD_sell_M15_close_2026-07-29-160722.png</t>
        </is>
      </c>
      <c r="I52" s="23" t="inlineStr">
        <is>
          <t>3214929/XAUUSD/2026-07-29_55973757_XAUUSD_sell_loss</t>
        </is>
      </c>
    </row>
    <row r="53">
      <c r="A53" s="24" t="n">
        <v>6</v>
      </c>
      <c r="B53" s="26" t="n">
        <v>55973757</v>
      </c>
      <c r="C53" s="27" t="inlineStr">
        <is>
          <t>XAUUSD</t>
        </is>
      </c>
      <c r="D53" s="27" t="inlineStr">
        <is>
          <t>sell</t>
        </is>
      </c>
      <c r="E53" s="27" t="inlineStr">
        <is>
          <t>M15</t>
        </is>
      </c>
      <c r="F53" s="27" t="inlineStr">
        <is>
          <t>open</t>
        </is>
      </c>
      <c r="G53" s="27" t="inlineStr">
        <is>
          <t>Loss</t>
        </is>
      </c>
      <c r="H53" s="65" t="inlineStr">
        <is>
          <t>30_55973757_XAUUSD_sell_M15_open_2026-07-29-155421.png</t>
        </is>
      </c>
      <c r="I53" s="23" t="inlineStr">
        <is>
          <t>3214929/XAUUSD/2026-07-29_55973757_XAUUSD_sell_loss</t>
        </is>
      </c>
    </row>
    <row r="54">
      <c r="A54" s="24" t="n">
        <v>6</v>
      </c>
      <c r="B54" s="26" t="n">
        <v>55973757</v>
      </c>
      <c r="C54" s="27" t="inlineStr">
        <is>
          <t>XAUUSD</t>
        </is>
      </c>
      <c r="D54" s="27" t="inlineStr">
        <is>
          <t>sell</t>
        </is>
      </c>
      <c r="E54" s="27" t="inlineStr">
        <is>
          <t>M5</t>
        </is>
      </c>
      <c r="F54" s="27" t="inlineStr">
        <is>
          <t>close</t>
        </is>
      </c>
      <c r="G54" s="27" t="inlineStr">
        <is>
          <t>Loss</t>
        </is>
      </c>
      <c r="H54" s="65" t="inlineStr">
        <is>
          <t>40_55973757_XAUUSD_sell_M5_close_2026-07-29-160722.png</t>
        </is>
      </c>
      <c r="I54" s="23" t="inlineStr">
        <is>
          <t>3214929/XAUUSD/2026-07-29_55973757_XAUUSD_sell_loss</t>
        </is>
      </c>
    </row>
    <row r="55">
      <c r="A55" s="24" t="n">
        <v>6</v>
      </c>
      <c r="B55" s="26" t="n">
        <v>55973757</v>
      </c>
      <c r="C55" s="27" t="inlineStr">
        <is>
          <t>XAUUSD</t>
        </is>
      </c>
      <c r="D55" s="27" t="inlineStr">
        <is>
          <t>sell</t>
        </is>
      </c>
      <c r="E55" s="27" t="inlineStr">
        <is>
          <t>M5</t>
        </is>
      </c>
      <c r="F55" s="27" t="inlineStr">
        <is>
          <t>open</t>
        </is>
      </c>
      <c r="G55" s="27" t="inlineStr">
        <is>
          <t>Loss</t>
        </is>
      </c>
      <c r="H55" s="65" t="inlineStr">
        <is>
          <t>40_55973757_XAUUSD_sell_M5_open_2026-07-29-155421.png</t>
        </is>
      </c>
      <c r="I55" s="23" t="inlineStr">
        <is>
          <t>3214929/XAUUSD/2026-07-29_55973757_XAUUSD_sell_loss</t>
        </is>
      </c>
    </row>
    <row r="56">
      <c r="A56" s="24" t="n">
        <v>6</v>
      </c>
      <c r="B56" s="26" t="n">
        <v>55973757</v>
      </c>
      <c r="C56" s="27" t="inlineStr">
        <is>
          <t>XAUUSD</t>
        </is>
      </c>
      <c r="D56" s="27" t="inlineStr">
        <is>
          <t>sell</t>
        </is>
      </c>
      <c r="E56" s="27" t="inlineStr">
        <is>
          <t>M1</t>
        </is>
      </c>
      <c r="F56" s="27" t="inlineStr">
        <is>
          <t>close</t>
        </is>
      </c>
      <c r="G56" s="27" t="inlineStr">
        <is>
          <t>Loss</t>
        </is>
      </c>
      <c r="H56" s="65" t="inlineStr">
        <is>
          <t>50_55973757_XAUUSD_sell_M1_close_2026-07-29-160722.png</t>
        </is>
      </c>
      <c r="I56" s="23" t="inlineStr">
        <is>
          <t>3214929/XAUUSD/2026-07-29_55973757_XAUUSD_sell_loss</t>
        </is>
      </c>
    </row>
    <row r="57">
      <c r="A57" s="24" t="n">
        <v>6</v>
      </c>
      <c r="B57" s="26" t="n">
        <v>55973757</v>
      </c>
      <c r="C57" s="27" t="inlineStr">
        <is>
          <t>XAUUSD</t>
        </is>
      </c>
      <c r="D57" s="27" t="inlineStr">
        <is>
          <t>sell</t>
        </is>
      </c>
      <c r="E57" s="27" t="inlineStr">
        <is>
          <t>M1</t>
        </is>
      </c>
      <c r="F57" s="27" t="inlineStr">
        <is>
          <t>journey</t>
        </is>
      </c>
      <c r="G57" s="27" t="inlineStr">
        <is>
          <t>Loss</t>
        </is>
      </c>
      <c r="H57" s="65" t="inlineStr">
        <is>
          <t>50_55973757_XAUUSD_sell_M1_journey_2026-07-29-155421.png</t>
        </is>
      </c>
      <c r="I57" s="23" t="inlineStr">
        <is>
          <t>3214929/XAUUSD/2026-07-29_55973757_XAUUSD_sell_loss</t>
        </is>
      </c>
    </row>
    <row r="58">
      <c r="A58" s="24" t="n">
        <v>6</v>
      </c>
      <c r="B58" s="26" t="n">
        <v>55973757</v>
      </c>
      <c r="C58" s="27" t="inlineStr">
        <is>
          <t>XAUUSD</t>
        </is>
      </c>
      <c r="D58" s="27" t="inlineStr">
        <is>
          <t>sell</t>
        </is>
      </c>
      <c r="E58" s="27" t="inlineStr">
        <is>
          <t>M1</t>
        </is>
      </c>
      <c r="F58" s="27" t="inlineStr">
        <is>
          <t>open</t>
        </is>
      </c>
      <c r="G58" s="27" t="inlineStr">
        <is>
          <t>Loss</t>
        </is>
      </c>
      <c r="H58" s="65" t="inlineStr">
        <is>
          <t>50_55973757_XAUUSD_sell_M1_open_2026-07-29-155421.png</t>
        </is>
      </c>
      <c r="I58" s="23" t="inlineStr">
        <is>
          <t>3214929/XAUUSD/2026-07-29_55973757_XAUUSD_sell_loss</t>
        </is>
      </c>
    </row>
    <row r="59">
      <c r="A59" s="24" t="n">
        <v>7</v>
      </c>
      <c r="B59" s="26" t="n">
        <v>55955183</v>
      </c>
      <c r="C59" s="27" t="inlineStr">
        <is>
          <t>DAXEUR</t>
        </is>
      </c>
      <c r="D59" s="27" t="inlineStr">
        <is>
          <t>sell</t>
        </is>
      </c>
      <c r="E59" s="27" t="inlineStr">
        <is>
          <t>H4</t>
        </is>
      </c>
      <c r="F59" s="27" t="inlineStr">
        <is>
          <t>close</t>
        </is>
      </c>
      <c r="G59" s="27" t="inlineStr">
        <is>
          <t>Win</t>
        </is>
      </c>
      <c r="H59" s="65" t="inlineStr">
        <is>
          <t>10_55955183_DAXEUR_sell_H4_close_2026-07-29-161455.png</t>
        </is>
      </c>
      <c r="I59" s="23" t="inlineStr">
        <is>
          <t>3214929/DAXEUR/2026-07-29_55955183_DAXEUR_sell_win</t>
        </is>
      </c>
    </row>
    <row r="60">
      <c r="A60" s="24" t="n">
        <v>7</v>
      </c>
      <c r="B60" s="26" t="n">
        <v>55955183</v>
      </c>
      <c r="C60" s="27" t="inlineStr">
        <is>
          <t>DAXEUR</t>
        </is>
      </c>
      <c r="D60" s="27" t="inlineStr">
        <is>
          <t>sell</t>
        </is>
      </c>
      <c r="E60" s="27" t="inlineStr">
        <is>
          <t>H1</t>
        </is>
      </c>
      <c r="F60" s="27" t="inlineStr">
        <is>
          <t>close</t>
        </is>
      </c>
      <c r="G60" s="27" t="inlineStr">
        <is>
          <t>Win</t>
        </is>
      </c>
      <c r="H60" s="65" t="inlineStr">
        <is>
          <t>20_55955183_DAXEUR_sell_H1_close_2026-07-29-161455.png</t>
        </is>
      </c>
      <c r="I60" s="23" t="inlineStr">
        <is>
          <t>3214929/DAXEUR/2026-07-29_55955183_DAXEUR_sell_win</t>
        </is>
      </c>
    </row>
    <row r="61">
      <c r="A61" s="24" t="n">
        <v>7</v>
      </c>
      <c r="B61" s="26" t="n">
        <v>55955183</v>
      </c>
      <c r="C61" s="27" t="inlineStr">
        <is>
          <t>DAXEUR</t>
        </is>
      </c>
      <c r="D61" s="27" t="inlineStr">
        <is>
          <t>sell</t>
        </is>
      </c>
      <c r="E61" s="27" t="inlineStr">
        <is>
          <t>M15</t>
        </is>
      </c>
      <c r="F61" s="27" t="inlineStr">
        <is>
          <t>close</t>
        </is>
      </c>
      <c r="G61" s="27" t="inlineStr">
        <is>
          <t>Win</t>
        </is>
      </c>
      <c r="H61" s="65" t="inlineStr">
        <is>
          <t>30_55955183_DAXEUR_sell_M15_close_2026-07-29-161455.png</t>
        </is>
      </c>
      <c r="I61" s="23" t="inlineStr">
        <is>
          <t>3214929/DAXEUR/2026-07-29_55955183_DAXEUR_sell_win</t>
        </is>
      </c>
    </row>
    <row r="62">
      <c r="A62" s="24" t="n">
        <v>7</v>
      </c>
      <c r="B62" s="26" t="n">
        <v>55955183</v>
      </c>
      <c r="C62" s="27" t="inlineStr">
        <is>
          <t>DAXEUR</t>
        </is>
      </c>
      <c r="D62" s="27" t="inlineStr">
        <is>
          <t>sell</t>
        </is>
      </c>
      <c r="E62" s="27" t="inlineStr">
        <is>
          <t>M15</t>
        </is>
      </c>
      <c r="F62" s="27" t="inlineStr">
        <is>
          <t>open</t>
        </is>
      </c>
      <c r="G62" s="27" t="inlineStr">
        <is>
          <t>Win</t>
        </is>
      </c>
      <c r="H62" s="65" t="inlineStr">
        <is>
          <t>30_55955183_DAXEUR_sell_M15_open_2026-07-29-150247.png</t>
        </is>
      </c>
      <c r="I62" s="23" t="inlineStr">
        <is>
          <t>3214929/DAXEUR/2026-07-29_55955183_DAXEUR_sell_win</t>
        </is>
      </c>
    </row>
    <row r="63">
      <c r="A63" s="24" t="n">
        <v>7</v>
      </c>
      <c r="B63" s="26" t="n">
        <v>55955183</v>
      </c>
      <c r="C63" s="27" t="inlineStr">
        <is>
          <t>DAXEUR</t>
        </is>
      </c>
      <c r="D63" s="27" t="inlineStr">
        <is>
          <t>sell</t>
        </is>
      </c>
      <c r="E63" s="27" t="inlineStr">
        <is>
          <t>M5</t>
        </is>
      </c>
      <c r="F63" s="27" t="inlineStr">
        <is>
          <t>close</t>
        </is>
      </c>
      <c r="G63" s="27" t="inlineStr">
        <is>
          <t>Win</t>
        </is>
      </c>
      <c r="H63" s="65" t="inlineStr">
        <is>
          <t>40_55955183_DAXEUR_sell_M5_close_2026-07-29-161455.png</t>
        </is>
      </c>
      <c r="I63" s="23" t="inlineStr">
        <is>
          <t>3214929/DAXEUR/2026-07-29_55955183_DAXEUR_sell_win</t>
        </is>
      </c>
    </row>
    <row r="64">
      <c r="A64" s="24" t="n">
        <v>7</v>
      </c>
      <c r="B64" s="26" t="n">
        <v>55955183</v>
      </c>
      <c r="C64" s="27" t="inlineStr">
        <is>
          <t>DAXEUR</t>
        </is>
      </c>
      <c r="D64" s="27" t="inlineStr">
        <is>
          <t>sell</t>
        </is>
      </c>
      <c r="E64" s="27" t="inlineStr">
        <is>
          <t>M5</t>
        </is>
      </c>
      <c r="F64" s="27" t="inlineStr">
        <is>
          <t>open</t>
        </is>
      </c>
      <c r="G64" s="27" t="inlineStr">
        <is>
          <t>Win</t>
        </is>
      </c>
      <c r="H64" s="65" t="inlineStr">
        <is>
          <t>40_55955183_DAXEUR_sell_M5_open_2026-07-29-150247.png</t>
        </is>
      </c>
      <c r="I64" s="23" t="inlineStr">
        <is>
          <t>3214929/DAXEUR/2026-07-29_55955183_DAXEUR_sell_win</t>
        </is>
      </c>
    </row>
    <row r="65">
      <c r="A65" s="24" t="n">
        <v>7</v>
      </c>
      <c r="B65" s="26" t="n">
        <v>55955183</v>
      </c>
      <c r="C65" s="27" t="inlineStr">
        <is>
          <t>DAXEUR</t>
        </is>
      </c>
      <c r="D65" s="27" t="inlineStr">
        <is>
          <t>sell</t>
        </is>
      </c>
      <c r="E65" s="27" t="inlineStr">
        <is>
          <t>M1</t>
        </is>
      </c>
      <c r="F65" s="27" t="inlineStr">
        <is>
          <t>close</t>
        </is>
      </c>
      <c r="G65" s="27" t="inlineStr">
        <is>
          <t>Win</t>
        </is>
      </c>
      <c r="H65" s="65" t="inlineStr">
        <is>
          <t>50_55955183_DAXEUR_sell_M1_close_2026-07-29-161455.png</t>
        </is>
      </c>
      <c r="I65" s="23" t="inlineStr">
        <is>
          <t>3214929/DAXEUR/2026-07-29_55955183_DAXEUR_sell_win</t>
        </is>
      </c>
    </row>
    <row r="66">
      <c r="A66" s="24" t="n">
        <v>7</v>
      </c>
      <c r="B66" s="26" t="n">
        <v>55955183</v>
      </c>
      <c r="C66" s="27" t="inlineStr">
        <is>
          <t>DAXEUR</t>
        </is>
      </c>
      <c r="D66" s="27" t="inlineStr">
        <is>
          <t>sell</t>
        </is>
      </c>
      <c r="E66" s="27" t="inlineStr">
        <is>
          <t>M1</t>
        </is>
      </c>
      <c r="F66" s="27" t="inlineStr">
        <is>
          <t>journey</t>
        </is>
      </c>
      <c r="G66" s="27" t="inlineStr">
        <is>
          <t>Win</t>
        </is>
      </c>
      <c r="H66" s="65" t="inlineStr">
        <is>
          <t>50_55955183_DAXEUR_sell_M1_journey_2026-07-29-150247.png</t>
        </is>
      </c>
      <c r="I66" s="23" t="inlineStr">
        <is>
          <t>3214929/DAXEUR/2026-07-29_55955183_DAXEUR_sell_win</t>
        </is>
      </c>
    </row>
    <row r="67">
      <c r="A67" s="24" t="n">
        <v>7</v>
      </c>
      <c r="B67" s="26" t="n">
        <v>55955183</v>
      </c>
      <c r="C67" s="27" t="inlineStr">
        <is>
          <t>DAXEUR</t>
        </is>
      </c>
      <c r="D67" s="27" t="inlineStr">
        <is>
          <t>sell</t>
        </is>
      </c>
      <c r="E67" s="27" t="inlineStr">
        <is>
          <t>M1</t>
        </is>
      </c>
      <c r="F67" s="27" t="inlineStr">
        <is>
          <t>open</t>
        </is>
      </c>
      <c r="G67" s="27" t="inlineStr">
        <is>
          <t>Win</t>
        </is>
      </c>
      <c r="H67" s="65" t="inlineStr">
        <is>
          <t>50_55955183_DAXEUR_sell_M1_open_2026-07-29-150247.png</t>
        </is>
      </c>
      <c r="I67" s="23" t="inlineStr">
        <is>
          <t>3214929/DAXEUR/2026-07-29_55955183_DAXEUR_sell_win</t>
        </is>
      </c>
    </row>
    <row r="68">
      <c r="A68" s="24" t="n">
        <v>8</v>
      </c>
      <c r="B68" s="26" t="n">
        <v>55983574</v>
      </c>
      <c r="C68" s="27" t="inlineStr">
        <is>
          <t>DAXEUR</t>
        </is>
      </c>
      <c r="D68" s="27" t="inlineStr">
        <is>
          <t>sell</t>
        </is>
      </c>
      <c r="E68" s="27" t="inlineStr">
        <is>
          <t>H4</t>
        </is>
      </c>
      <c r="F68" s="27" t="inlineStr">
        <is>
          <t>close</t>
        </is>
      </c>
      <c r="G68" s="27" t="inlineStr">
        <is>
          <t>Loss</t>
        </is>
      </c>
      <c r="H68" s="65" t="inlineStr">
        <is>
          <t>10_55983574_DAXEUR_sell_H4_close_2026-07-29-162307.png</t>
        </is>
      </c>
      <c r="I68" s="23" t="inlineStr">
        <is>
          <t>3214929/DAXEUR/2026-07-29_55983574_DAXEUR_sell_loss</t>
        </is>
      </c>
    </row>
    <row r="69">
      <c r="A69" s="24" t="n">
        <v>8</v>
      </c>
      <c r="B69" s="26" t="n">
        <v>55983574</v>
      </c>
      <c r="C69" s="27" t="inlineStr">
        <is>
          <t>DAXEUR</t>
        </is>
      </c>
      <c r="D69" s="27" t="inlineStr">
        <is>
          <t>sell</t>
        </is>
      </c>
      <c r="E69" s="27" t="inlineStr">
        <is>
          <t>H1</t>
        </is>
      </c>
      <c r="F69" s="27" t="inlineStr">
        <is>
          <t>close</t>
        </is>
      </c>
      <c r="G69" s="27" t="inlineStr">
        <is>
          <t>Loss</t>
        </is>
      </c>
      <c r="H69" s="65" t="inlineStr">
        <is>
          <t>20_55983574_DAXEUR_sell_H1_close_2026-07-29-162307.png</t>
        </is>
      </c>
      <c r="I69" s="23" t="inlineStr">
        <is>
          <t>3214929/DAXEUR/2026-07-29_55983574_DAXEUR_sell_loss</t>
        </is>
      </c>
    </row>
    <row r="70">
      <c r="A70" s="24" t="n">
        <v>8</v>
      </c>
      <c r="B70" s="26" t="n">
        <v>55983574</v>
      </c>
      <c r="C70" s="27" t="inlineStr">
        <is>
          <t>DAXEUR</t>
        </is>
      </c>
      <c r="D70" s="27" t="inlineStr">
        <is>
          <t>sell</t>
        </is>
      </c>
      <c r="E70" s="27" t="inlineStr">
        <is>
          <t>M15</t>
        </is>
      </c>
      <c r="F70" s="27" t="inlineStr">
        <is>
          <t>close</t>
        </is>
      </c>
      <c r="G70" s="27" t="inlineStr">
        <is>
          <t>Loss</t>
        </is>
      </c>
      <c r="H70" s="65" t="inlineStr">
        <is>
          <t>30_55983574_DAXEUR_sell_M15_close_2026-07-29-162307.png</t>
        </is>
      </c>
      <c r="I70" s="23" t="inlineStr">
        <is>
          <t>3214929/DAXEUR/2026-07-29_55983574_DAXEUR_sell_loss</t>
        </is>
      </c>
    </row>
    <row r="71">
      <c r="A71" s="24" t="n">
        <v>8</v>
      </c>
      <c r="B71" s="26" t="n">
        <v>55983574</v>
      </c>
      <c r="C71" s="27" t="inlineStr">
        <is>
          <t>DAXEUR</t>
        </is>
      </c>
      <c r="D71" s="27" t="inlineStr">
        <is>
          <t>sell</t>
        </is>
      </c>
      <c r="E71" s="27" t="inlineStr">
        <is>
          <t>M15</t>
        </is>
      </c>
      <c r="F71" s="27" t="inlineStr">
        <is>
          <t>open</t>
        </is>
      </c>
      <c r="G71" s="27" t="inlineStr">
        <is>
          <t>Loss</t>
        </is>
      </c>
      <c r="H71" s="65" t="inlineStr">
        <is>
          <t>30_55983574_DAXEUR_sell_M15_open_2026-07-29-161815.png</t>
        </is>
      </c>
      <c r="I71" s="23" t="inlineStr">
        <is>
          <t>3214929/DAXEUR/2026-07-29_55983574_DAXEUR_sell_loss</t>
        </is>
      </c>
    </row>
    <row r="72">
      <c r="A72" s="24" t="n">
        <v>8</v>
      </c>
      <c r="B72" s="26" t="n">
        <v>55983574</v>
      </c>
      <c r="C72" s="27" t="inlineStr">
        <is>
          <t>DAXEUR</t>
        </is>
      </c>
      <c r="D72" s="27" t="inlineStr">
        <is>
          <t>sell</t>
        </is>
      </c>
      <c r="E72" s="27" t="inlineStr">
        <is>
          <t>M5</t>
        </is>
      </c>
      <c r="F72" s="27" t="inlineStr">
        <is>
          <t>close</t>
        </is>
      </c>
      <c r="G72" s="27" t="inlineStr">
        <is>
          <t>Loss</t>
        </is>
      </c>
      <c r="H72" s="65" t="inlineStr">
        <is>
          <t>40_55983574_DAXEUR_sell_M5_close_2026-07-29-162307.png</t>
        </is>
      </c>
      <c r="I72" s="23" t="inlineStr">
        <is>
          <t>3214929/DAXEUR/2026-07-29_55983574_DAXEUR_sell_loss</t>
        </is>
      </c>
    </row>
    <row r="73">
      <c r="A73" s="24" t="n">
        <v>8</v>
      </c>
      <c r="B73" s="26" t="n">
        <v>55983574</v>
      </c>
      <c r="C73" s="27" t="inlineStr">
        <is>
          <t>DAXEUR</t>
        </is>
      </c>
      <c r="D73" s="27" t="inlineStr">
        <is>
          <t>sell</t>
        </is>
      </c>
      <c r="E73" s="27" t="inlineStr">
        <is>
          <t>M5</t>
        </is>
      </c>
      <c r="F73" s="27" t="inlineStr">
        <is>
          <t>open</t>
        </is>
      </c>
      <c r="G73" s="27" t="inlineStr">
        <is>
          <t>Loss</t>
        </is>
      </c>
      <c r="H73" s="65" t="inlineStr">
        <is>
          <t>40_55983574_DAXEUR_sell_M5_open_2026-07-29-161815.png</t>
        </is>
      </c>
      <c r="I73" s="23" t="inlineStr">
        <is>
          <t>3214929/DAXEUR/2026-07-29_55983574_DAXEUR_sell_loss</t>
        </is>
      </c>
    </row>
    <row r="74">
      <c r="A74" s="24" t="n">
        <v>8</v>
      </c>
      <c r="B74" s="26" t="n">
        <v>55983574</v>
      </c>
      <c r="C74" s="27" t="inlineStr">
        <is>
          <t>DAXEUR</t>
        </is>
      </c>
      <c r="D74" s="27" t="inlineStr">
        <is>
          <t>sell</t>
        </is>
      </c>
      <c r="E74" s="27" t="inlineStr">
        <is>
          <t>M1</t>
        </is>
      </c>
      <c r="F74" s="27" t="inlineStr">
        <is>
          <t>close</t>
        </is>
      </c>
      <c r="G74" s="27" t="inlineStr">
        <is>
          <t>Loss</t>
        </is>
      </c>
      <c r="H74" s="65" t="inlineStr">
        <is>
          <t>50_55983574_DAXEUR_sell_M1_close_2026-07-29-162307.png</t>
        </is>
      </c>
      <c r="I74" s="23" t="inlineStr">
        <is>
          <t>3214929/DAXEUR/2026-07-29_55983574_DAXEUR_sell_loss</t>
        </is>
      </c>
    </row>
    <row r="75">
      <c r="A75" s="24" t="n">
        <v>8</v>
      </c>
      <c r="B75" s="26" t="n">
        <v>55983574</v>
      </c>
      <c r="C75" s="27" t="inlineStr">
        <is>
          <t>DAXEUR</t>
        </is>
      </c>
      <c r="D75" s="27" t="inlineStr">
        <is>
          <t>sell</t>
        </is>
      </c>
      <c r="E75" s="27" t="inlineStr">
        <is>
          <t>M1</t>
        </is>
      </c>
      <c r="F75" s="27" t="inlineStr">
        <is>
          <t>journey</t>
        </is>
      </c>
      <c r="G75" s="27" t="inlineStr">
        <is>
          <t>Loss</t>
        </is>
      </c>
      <c r="H75" s="65" t="inlineStr">
        <is>
          <t>50_55983574_DAXEUR_sell_M1_journey_2026-07-29-161815.png</t>
        </is>
      </c>
      <c r="I75" s="23" t="inlineStr">
        <is>
          <t>3214929/DAXEUR/2026-07-29_55983574_DAXEUR_sell_loss</t>
        </is>
      </c>
    </row>
    <row r="76">
      <c r="A76" s="24" t="n">
        <v>8</v>
      </c>
      <c r="B76" s="26" t="n">
        <v>55983574</v>
      </c>
      <c r="C76" s="27" t="inlineStr">
        <is>
          <t>DAXEUR</t>
        </is>
      </c>
      <c r="D76" s="27" t="inlineStr">
        <is>
          <t>sell</t>
        </is>
      </c>
      <c r="E76" s="27" t="inlineStr">
        <is>
          <t>M1</t>
        </is>
      </c>
      <c r="F76" s="27" t="inlineStr">
        <is>
          <t>open</t>
        </is>
      </c>
      <c r="G76" s="27" t="inlineStr">
        <is>
          <t>Loss</t>
        </is>
      </c>
      <c r="H76" s="65" t="inlineStr">
        <is>
          <t>50_55983574_DAXEUR_sell_M1_open_2026-07-29-161815.png</t>
        </is>
      </c>
      <c r="I76" s="23" t="inlineStr">
        <is>
          <t>3214929/DAXEUR/2026-07-29_55983574_DAXEUR_sell_loss</t>
        </is>
      </c>
    </row>
    <row r="77">
      <c r="A77" s="24" t="n">
        <v>9</v>
      </c>
      <c r="B77" s="26" t="n">
        <v>55984899</v>
      </c>
      <c r="C77" s="27" t="inlineStr">
        <is>
          <t>DAXEUR</t>
        </is>
      </c>
      <c r="D77" s="27" t="inlineStr">
        <is>
          <t>sell</t>
        </is>
      </c>
      <c r="E77" s="27" t="inlineStr">
        <is>
          <t>H4</t>
        </is>
      </c>
      <c r="F77" s="27" t="inlineStr">
        <is>
          <t>close</t>
        </is>
      </c>
      <c r="G77" s="27" t="inlineStr">
        <is>
          <t>Loss</t>
        </is>
      </c>
      <c r="H77" s="65" t="inlineStr">
        <is>
          <t>10_55984899_DAXEUR_sell_H4_close_2026-07-29-162308.png</t>
        </is>
      </c>
      <c r="I77" s="23" t="inlineStr">
        <is>
          <t>3214929/DAXEUR/2026-07-29_55984899_DAXEUR_sell_loss</t>
        </is>
      </c>
    </row>
    <row r="78">
      <c r="A78" s="24" t="n">
        <v>9</v>
      </c>
      <c r="B78" s="26" t="n">
        <v>55984899</v>
      </c>
      <c r="C78" s="27" t="inlineStr">
        <is>
          <t>DAXEUR</t>
        </is>
      </c>
      <c r="D78" s="27" t="inlineStr">
        <is>
          <t>sell</t>
        </is>
      </c>
      <c r="E78" s="27" t="inlineStr">
        <is>
          <t>H1</t>
        </is>
      </c>
      <c r="F78" s="27" t="inlineStr">
        <is>
          <t>close</t>
        </is>
      </c>
      <c r="G78" s="27" t="inlineStr">
        <is>
          <t>Loss</t>
        </is>
      </c>
      <c r="H78" s="65" t="inlineStr">
        <is>
          <t>20_55984899_DAXEUR_sell_H1_close_2026-07-29-162308.png</t>
        </is>
      </c>
      <c r="I78" s="23" t="inlineStr">
        <is>
          <t>3214929/DAXEUR/2026-07-29_55984899_DAXEUR_sell_loss</t>
        </is>
      </c>
    </row>
    <row r="79">
      <c r="A79" s="24" t="n">
        <v>9</v>
      </c>
      <c r="B79" s="26" t="n">
        <v>55984899</v>
      </c>
      <c r="C79" s="27" t="inlineStr">
        <is>
          <t>DAXEUR</t>
        </is>
      </c>
      <c r="D79" s="27" t="inlineStr">
        <is>
          <t>sell</t>
        </is>
      </c>
      <c r="E79" s="27" t="inlineStr">
        <is>
          <t>M15</t>
        </is>
      </c>
      <c r="F79" s="27" t="inlineStr">
        <is>
          <t>close</t>
        </is>
      </c>
      <c r="G79" s="27" t="inlineStr">
        <is>
          <t>Loss</t>
        </is>
      </c>
      <c r="H79" s="65" t="inlineStr">
        <is>
          <t>30_55984899_DAXEUR_sell_M15_close_2026-07-29-162308.png</t>
        </is>
      </c>
      <c r="I79" s="23" t="inlineStr">
        <is>
          <t>3214929/DAXEUR/2026-07-29_55984899_DAXEUR_sell_loss</t>
        </is>
      </c>
    </row>
    <row r="80">
      <c r="A80" s="24" t="n">
        <v>9</v>
      </c>
      <c r="B80" s="26" t="n">
        <v>55984899</v>
      </c>
      <c r="C80" s="27" t="inlineStr">
        <is>
          <t>DAXEUR</t>
        </is>
      </c>
      <c r="D80" s="27" t="inlineStr">
        <is>
          <t>sell</t>
        </is>
      </c>
      <c r="E80" s="27" t="inlineStr">
        <is>
          <t>M15</t>
        </is>
      </c>
      <c r="F80" s="27" t="inlineStr">
        <is>
          <t>open</t>
        </is>
      </c>
      <c r="G80" s="27" t="inlineStr">
        <is>
          <t>Loss</t>
        </is>
      </c>
      <c r="H80" s="65" t="inlineStr">
        <is>
          <t>30_55984899_DAXEUR_sell_M15_open_2026-07-29-162218.png</t>
        </is>
      </c>
      <c r="I80" s="23" t="inlineStr">
        <is>
          <t>3214929/DAXEUR/2026-07-29_55984899_DAXEUR_sell_loss</t>
        </is>
      </c>
    </row>
    <row r="81">
      <c r="A81" s="24" t="n">
        <v>9</v>
      </c>
      <c r="B81" s="26" t="n">
        <v>55984899</v>
      </c>
      <c r="C81" s="27" t="inlineStr">
        <is>
          <t>DAXEUR</t>
        </is>
      </c>
      <c r="D81" s="27" t="inlineStr">
        <is>
          <t>sell</t>
        </is>
      </c>
      <c r="E81" s="27" t="inlineStr">
        <is>
          <t>M5</t>
        </is>
      </c>
      <c r="F81" s="27" t="inlineStr">
        <is>
          <t>close</t>
        </is>
      </c>
      <c r="G81" s="27" t="inlineStr">
        <is>
          <t>Loss</t>
        </is>
      </c>
      <c r="H81" s="65" t="inlineStr">
        <is>
          <t>40_55984899_DAXEUR_sell_M5_close_2026-07-29-162308.png</t>
        </is>
      </c>
      <c r="I81" s="23" t="inlineStr">
        <is>
          <t>3214929/DAXEUR/2026-07-29_55984899_DAXEUR_sell_loss</t>
        </is>
      </c>
    </row>
    <row r="82">
      <c r="A82" s="24" t="n">
        <v>9</v>
      </c>
      <c r="B82" s="26" t="n">
        <v>55984899</v>
      </c>
      <c r="C82" s="27" t="inlineStr">
        <is>
          <t>DAXEUR</t>
        </is>
      </c>
      <c r="D82" s="27" t="inlineStr">
        <is>
          <t>sell</t>
        </is>
      </c>
      <c r="E82" s="27" t="inlineStr">
        <is>
          <t>M5</t>
        </is>
      </c>
      <c r="F82" s="27" t="inlineStr">
        <is>
          <t>open</t>
        </is>
      </c>
      <c r="G82" s="27" t="inlineStr">
        <is>
          <t>Loss</t>
        </is>
      </c>
      <c r="H82" s="65" t="inlineStr">
        <is>
          <t>40_55984899_DAXEUR_sell_M5_open_2026-07-29-162218.png</t>
        </is>
      </c>
      <c r="I82" s="23" t="inlineStr">
        <is>
          <t>3214929/DAXEUR/2026-07-29_55984899_DAXEUR_sell_loss</t>
        </is>
      </c>
    </row>
    <row r="83">
      <c r="A83" s="24" t="n">
        <v>9</v>
      </c>
      <c r="B83" s="26" t="n">
        <v>55984899</v>
      </c>
      <c r="C83" s="27" t="inlineStr">
        <is>
          <t>DAXEUR</t>
        </is>
      </c>
      <c r="D83" s="27" t="inlineStr">
        <is>
          <t>sell</t>
        </is>
      </c>
      <c r="E83" s="27" t="inlineStr">
        <is>
          <t>M1</t>
        </is>
      </c>
      <c r="F83" s="27" t="inlineStr">
        <is>
          <t>close</t>
        </is>
      </c>
      <c r="G83" s="27" t="inlineStr">
        <is>
          <t>Loss</t>
        </is>
      </c>
      <c r="H83" s="65" t="inlineStr">
        <is>
          <t>50_55984899_DAXEUR_sell_M1_close_2026-07-29-162308.png</t>
        </is>
      </c>
      <c r="I83" s="23" t="inlineStr">
        <is>
          <t>3214929/DAXEUR/2026-07-29_55984899_DAXEUR_sell_loss</t>
        </is>
      </c>
    </row>
    <row r="84">
      <c r="A84" s="24" t="n">
        <v>9</v>
      </c>
      <c r="B84" s="26" t="n">
        <v>55984899</v>
      </c>
      <c r="C84" s="27" t="inlineStr">
        <is>
          <t>DAXEUR</t>
        </is>
      </c>
      <c r="D84" s="27" t="inlineStr">
        <is>
          <t>sell</t>
        </is>
      </c>
      <c r="E84" s="27" t="inlineStr">
        <is>
          <t>M1</t>
        </is>
      </c>
      <c r="F84" s="27" t="inlineStr">
        <is>
          <t>journey</t>
        </is>
      </c>
      <c r="G84" s="27" t="inlineStr">
        <is>
          <t>Loss</t>
        </is>
      </c>
      <c r="H84" s="65" t="inlineStr">
        <is>
          <t>50_55984899_DAXEUR_sell_M1_journey_2026-07-29-162218.png</t>
        </is>
      </c>
      <c r="I84" s="23" t="inlineStr">
        <is>
          <t>3214929/DAXEUR/2026-07-29_55984899_DAXEUR_sell_loss</t>
        </is>
      </c>
    </row>
    <row r="85">
      <c r="A85" s="24" t="n">
        <v>9</v>
      </c>
      <c r="B85" s="26" t="n">
        <v>55984899</v>
      </c>
      <c r="C85" s="27" t="inlineStr">
        <is>
          <t>DAXEUR</t>
        </is>
      </c>
      <c r="D85" s="27" t="inlineStr">
        <is>
          <t>sell</t>
        </is>
      </c>
      <c r="E85" s="27" t="inlineStr">
        <is>
          <t>M1</t>
        </is>
      </c>
      <c r="F85" s="27" t="inlineStr">
        <is>
          <t>open</t>
        </is>
      </c>
      <c r="G85" s="27" t="inlineStr">
        <is>
          <t>Loss</t>
        </is>
      </c>
      <c r="H85" s="65" t="inlineStr">
        <is>
          <t>50_55984899_DAXEUR_sell_M1_open_2026-07-29-162218.png</t>
        </is>
      </c>
      <c r="I85" s="23" t="inlineStr">
        <is>
          <t>3214929/DAXEUR/2026-07-29_55984899_DAXEUR_sell_loss</t>
        </is>
      </c>
    </row>
    <row r="86">
      <c r="A86" s="24" t="n">
        <v>10</v>
      </c>
      <c r="B86" s="26" t="n">
        <v>55957591</v>
      </c>
      <c r="C86" s="27" t="inlineStr">
        <is>
          <t>DAXEUR</t>
        </is>
      </c>
      <c r="D86" s="27" t="inlineStr">
        <is>
          <t>sell</t>
        </is>
      </c>
      <c r="E86" s="27" t="inlineStr">
        <is>
          <t>H4</t>
        </is>
      </c>
      <c r="F86" s="27" t="inlineStr">
        <is>
          <t>close</t>
        </is>
      </c>
      <c r="G86" s="27" t="inlineStr">
        <is>
          <t>Win</t>
        </is>
      </c>
      <c r="H86" s="65" t="inlineStr">
        <is>
          <t>10_55957591_DAXEUR_sell_H4_close_2026-07-29-163352.png</t>
        </is>
      </c>
      <c r="I86" s="23" t="inlineStr">
        <is>
          <t>3214929/DAXEUR/2026-07-29_55957591_DAXEUR_sell_win</t>
        </is>
      </c>
    </row>
    <row r="87">
      <c r="A87" s="24" t="n">
        <v>10</v>
      </c>
      <c r="B87" s="26" t="n">
        <v>55957591</v>
      </c>
      <c r="C87" s="27" t="inlineStr">
        <is>
          <t>DAXEUR</t>
        </is>
      </c>
      <c r="D87" s="27" t="inlineStr">
        <is>
          <t>sell</t>
        </is>
      </c>
      <c r="E87" s="27" t="inlineStr">
        <is>
          <t>H1</t>
        </is>
      </c>
      <c r="F87" s="27" t="inlineStr">
        <is>
          <t>close</t>
        </is>
      </c>
      <c r="G87" s="27" t="inlineStr">
        <is>
          <t>Win</t>
        </is>
      </c>
      <c r="H87" s="65" t="inlineStr">
        <is>
          <t>20_55957591_DAXEUR_sell_H1_close_2026-07-29-163352.png</t>
        </is>
      </c>
      <c r="I87" s="23" t="inlineStr">
        <is>
          <t>3214929/DAXEUR/2026-07-29_55957591_DAXEUR_sell_win</t>
        </is>
      </c>
    </row>
    <row r="88">
      <c r="A88" s="24" t="n">
        <v>10</v>
      </c>
      <c r="B88" s="26" t="n">
        <v>55957591</v>
      </c>
      <c r="C88" s="27" t="inlineStr">
        <is>
          <t>DAXEUR</t>
        </is>
      </c>
      <c r="D88" s="27" t="inlineStr">
        <is>
          <t>sell</t>
        </is>
      </c>
      <c r="E88" s="27" t="inlineStr">
        <is>
          <t>M15</t>
        </is>
      </c>
      <c r="F88" s="27" t="inlineStr">
        <is>
          <t>close</t>
        </is>
      </c>
      <c r="G88" s="27" t="inlineStr">
        <is>
          <t>Win</t>
        </is>
      </c>
      <c r="H88" s="65" t="inlineStr">
        <is>
          <t>30_55957591_DAXEUR_sell_M15_close_2026-07-29-163352.png</t>
        </is>
      </c>
      <c r="I88" s="23" t="inlineStr">
        <is>
          <t>3214929/DAXEUR/2026-07-29_55957591_DAXEUR_sell_win</t>
        </is>
      </c>
    </row>
    <row r="89">
      <c r="A89" s="24" t="n">
        <v>10</v>
      </c>
      <c r="B89" s="26" t="n">
        <v>55957591</v>
      </c>
      <c r="C89" s="27" t="inlineStr">
        <is>
          <t>DAXEUR</t>
        </is>
      </c>
      <c r="D89" s="27" t="inlineStr">
        <is>
          <t>sell</t>
        </is>
      </c>
      <c r="E89" s="27" t="inlineStr">
        <is>
          <t>M15</t>
        </is>
      </c>
      <c r="F89" s="27" t="inlineStr">
        <is>
          <t>open</t>
        </is>
      </c>
      <c r="G89" s="27" t="inlineStr">
        <is>
          <t>Win</t>
        </is>
      </c>
      <c r="H89" s="65" t="inlineStr">
        <is>
          <t>30_55957591_DAXEUR_sell_M15_open_2026-07-29-150940.png</t>
        </is>
      </c>
      <c r="I89" s="23" t="inlineStr">
        <is>
          <t>3214929/DAXEUR/2026-07-29_55957591_DAXEUR_sell_win</t>
        </is>
      </c>
    </row>
    <row r="90">
      <c r="A90" s="24" t="n">
        <v>10</v>
      </c>
      <c r="B90" s="26" t="n">
        <v>55957591</v>
      </c>
      <c r="C90" s="27" t="inlineStr">
        <is>
          <t>DAXEUR</t>
        </is>
      </c>
      <c r="D90" s="27" t="inlineStr">
        <is>
          <t>sell</t>
        </is>
      </c>
      <c r="E90" s="27" t="inlineStr">
        <is>
          <t>M5</t>
        </is>
      </c>
      <c r="F90" s="27" t="inlineStr">
        <is>
          <t>close</t>
        </is>
      </c>
      <c r="G90" s="27" t="inlineStr">
        <is>
          <t>Win</t>
        </is>
      </c>
      <c r="H90" s="65" t="inlineStr">
        <is>
          <t>40_55957591_DAXEUR_sell_M5_close_2026-07-29-163352.png</t>
        </is>
      </c>
      <c r="I90" s="23" t="inlineStr">
        <is>
          <t>3214929/DAXEUR/2026-07-29_55957591_DAXEUR_sell_win</t>
        </is>
      </c>
    </row>
    <row r="91">
      <c r="A91" s="24" t="n">
        <v>10</v>
      </c>
      <c r="B91" s="26" t="n">
        <v>55957591</v>
      </c>
      <c r="C91" s="27" t="inlineStr">
        <is>
          <t>DAXEUR</t>
        </is>
      </c>
      <c r="D91" s="27" t="inlineStr">
        <is>
          <t>sell</t>
        </is>
      </c>
      <c r="E91" s="27" t="inlineStr">
        <is>
          <t>M5</t>
        </is>
      </c>
      <c r="F91" s="27" t="inlineStr">
        <is>
          <t>open</t>
        </is>
      </c>
      <c r="G91" s="27" t="inlineStr">
        <is>
          <t>Win</t>
        </is>
      </c>
      <c r="H91" s="65" t="inlineStr">
        <is>
          <t>40_55957591_DAXEUR_sell_M5_open_2026-07-29-150940.png</t>
        </is>
      </c>
      <c r="I91" s="23" t="inlineStr">
        <is>
          <t>3214929/DAXEUR/2026-07-29_55957591_DAXEUR_sell_win</t>
        </is>
      </c>
    </row>
    <row r="92">
      <c r="A92" s="24" t="n">
        <v>10</v>
      </c>
      <c r="B92" s="26" t="n">
        <v>55957591</v>
      </c>
      <c r="C92" s="27" t="inlineStr">
        <is>
          <t>DAXEUR</t>
        </is>
      </c>
      <c r="D92" s="27" t="inlineStr">
        <is>
          <t>sell</t>
        </is>
      </c>
      <c r="E92" s="27" t="inlineStr">
        <is>
          <t>M1</t>
        </is>
      </c>
      <c r="F92" s="27" t="inlineStr">
        <is>
          <t>close</t>
        </is>
      </c>
      <c r="G92" s="27" t="inlineStr">
        <is>
          <t>Win</t>
        </is>
      </c>
      <c r="H92" s="65" t="inlineStr">
        <is>
          <t>50_55957591_DAXEUR_sell_M1_close_2026-07-29-163352.png</t>
        </is>
      </c>
      <c r="I92" s="23" t="inlineStr">
        <is>
          <t>3214929/DAXEUR/2026-07-29_55957591_DAXEUR_sell_win</t>
        </is>
      </c>
    </row>
    <row r="93">
      <c r="A93" s="24" t="n">
        <v>10</v>
      </c>
      <c r="B93" s="26" t="n">
        <v>55957591</v>
      </c>
      <c r="C93" s="27" t="inlineStr">
        <is>
          <t>DAXEUR</t>
        </is>
      </c>
      <c r="D93" s="27" t="inlineStr">
        <is>
          <t>sell</t>
        </is>
      </c>
      <c r="E93" s="27" t="inlineStr">
        <is>
          <t>M1</t>
        </is>
      </c>
      <c r="F93" s="27" t="inlineStr">
        <is>
          <t>journey</t>
        </is>
      </c>
      <c r="G93" s="27" t="inlineStr">
        <is>
          <t>Win</t>
        </is>
      </c>
      <c r="H93" s="65" t="inlineStr">
        <is>
          <t>50_55957591_DAXEUR_sell_M1_journey_2026-07-29-150940.png</t>
        </is>
      </c>
      <c r="I93" s="23" t="inlineStr">
        <is>
          <t>3214929/DAXEUR/2026-07-29_55957591_DAXEUR_sell_win</t>
        </is>
      </c>
    </row>
    <row r="94">
      <c r="A94" s="24" t="n">
        <v>10</v>
      </c>
      <c r="B94" s="26" t="n">
        <v>55957591</v>
      </c>
      <c r="C94" s="27" t="inlineStr">
        <is>
          <t>DAXEUR</t>
        </is>
      </c>
      <c r="D94" s="27" t="inlineStr">
        <is>
          <t>sell</t>
        </is>
      </c>
      <c r="E94" s="27" t="inlineStr">
        <is>
          <t>M1</t>
        </is>
      </c>
      <c r="F94" s="27" t="inlineStr">
        <is>
          <t>open</t>
        </is>
      </c>
      <c r="G94" s="27" t="inlineStr">
        <is>
          <t>Win</t>
        </is>
      </c>
      <c r="H94" s="65" t="inlineStr">
        <is>
          <t>50_55957591_DAXEUR_sell_M1_open_2026-07-29-150940.png</t>
        </is>
      </c>
      <c r="I94" s="23" t="inlineStr">
        <is>
          <t>3214929/DAXEUR/2026-07-29_55957591_DAXEUR_sell_win</t>
        </is>
      </c>
    </row>
    <row r="95">
      <c r="A95" s="24" t="n">
        <v>11</v>
      </c>
      <c r="B95" s="26" t="n">
        <v>55988453</v>
      </c>
      <c r="C95" s="27" t="inlineStr">
        <is>
          <t>XAUUSD</t>
        </is>
      </c>
      <c r="D95" s="27" t="inlineStr">
        <is>
          <t>sell</t>
        </is>
      </c>
      <c r="E95" s="27" t="inlineStr">
        <is>
          <t>H4</t>
        </is>
      </c>
      <c r="F95" s="27" t="inlineStr">
        <is>
          <t>close</t>
        </is>
      </c>
      <c r="G95" s="27" t="inlineStr">
        <is>
          <t>Loss</t>
        </is>
      </c>
      <c r="H95" s="65" t="inlineStr">
        <is>
          <t>10_55988453_XAUUSD_sell_H4_close_2026-07-29-163404.png</t>
        </is>
      </c>
      <c r="I95" s="23" t="inlineStr">
        <is>
          <t>3214929/XAUUSD/2026-07-29_55988453_XAUUSD_sell_loss</t>
        </is>
      </c>
    </row>
    <row r="96">
      <c r="A96" s="24" t="n">
        <v>11</v>
      </c>
      <c r="B96" s="26" t="n">
        <v>55988453</v>
      </c>
      <c r="C96" s="27" t="inlineStr">
        <is>
          <t>XAUUSD</t>
        </is>
      </c>
      <c r="D96" s="27" t="inlineStr">
        <is>
          <t>sell</t>
        </is>
      </c>
      <c r="E96" s="27" t="inlineStr">
        <is>
          <t>H1</t>
        </is>
      </c>
      <c r="F96" s="27" t="inlineStr">
        <is>
          <t>close</t>
        </is>
      </c>
      <c r="G96" s="27" t="inlineStr">
        <is>
          <t>Loss</t>
        </is>
      </c>
      <c r="H96" s="65" t="inlineStr">
        <is>
          <t>20_55988453_XAUUSD_sell_H1_close_2026-07-29-163404.png</t>
        </is>
      </c>
      <c r="I96" s="23" t="inlineStr">
        <is>
          <t>3214929/XAUUSD/2026-07-29_55988453_XAUUSD_sell_loss</t>
        </is>
      </c>
    </row>
    <row r="97">
      <c r="A97" s="24" t="n">
        <v>11</v>
      </c>
      <c r="B97" s="26" t="n">
        <v>55988453</v>
      </c>
      <c r="C97" s="27" t="inlineStr">
        <is>
          <t>XAUUSD</t>
        </is>
      </c>
      <c r="D97" s="27" t="inlineStr">
        <is>
          <t>sell</t>
        </is>
      </c>
      <c r="E97" s="27" t="inlineStr">
        <is>
          <t>M15</t>
        </is>
      </c>
      <c r="F97" s="27" t="inlineStr">
        <is>
          <t>close</t>
        </is>
      </c>
      <c r="G97" s="27" t="inlineStr">
        <is>
          <t>Loss</t>
        </is>
      </c>
      <c r="H97" s="65" t="inlineStr">
        <is>
          <t>30_55988453_XAUUSD_sell_M15_close_2026-07-29-163404.png</t>
        </is>
      </c>
      <c r="I97" s="23" t="inlineStr">
        <is>
          <t>3214929/XAUUSD/2026-07-29_55988453_XAUUSD_sell_loss</t>
        </is>
      </c>
    </row>
    <row r="98">
      <c r="A98" s="24" t="n">
        <v>11</v>
      </c>
      <c r="B98" s="26" t="n">
        <v>55988453</v>
      </c>
      <c r="C98" s="27" t="inlineStr">
        <is>
          <t>XAUUSD</t>
        </is>
      </c>
      <c r="D98" s="27" t="inlineStr">
        <is>
          <t>sell</t>
        </is>
      </c>
      <c r="E98" s="27" t="inlineStr">
        <is>
          <t>M15</t>
        </is>
      </c>
      <c r="F98" s="27" t="inlineStr">
        <is>
          <t>open</t>
        </is>
      </c>
      <c r="G98" s="27" t="inlineStr">
        <is>
          <t>Loss</t>
        </is>
      </c>
      <c r="H98" s="65" t="inlineStr">
        <is>
          <t>30_55988453_XAUUSD_sell_M15_open_2026-07-29-163201.png</t>
        </is>
      </c>
      <c r="I98" s="23" t="inlineStr">
        <is>
          <t>3214929/XAUUSD/2026-07-29_55988453_XAUUSD_sell_loss</t>
        </is>
      </c>
    </row>
    <row r="99">
      <c r="A99" s="24" t="n">
        <v>11</v>
      </c>
      <c r="B99" s="26" t="n">
        <v>55988453</v>
      </c>
      <c r="C99" s="27" t="inlineStr">
        <is>
          <t>XAUUSD</t>
        </is>
      </c>
      <c r="D99" s="27" t="inlineStr">
        <is>
          <t>sell</t>
        </is>
      </c>
      <c r="E99" s="27" t="inlineStr">
        <is>
          <t>M5</t>
        </is>
      </c>
      <c r="F99" s="27" t="inlineStr">
        <is>
          <t>close</t>
        </is>
      </c>
      <c r="G99" s="27" t="inlineStr">
        <is>
          <t>Loss</t>
        </is>
      </c>
      <c r="H99" s="65" t="inlineStr">
        <is>
          <t>40_55988453_XAUUSD_sell_M5_close_2026-07-29-163404.png</t>
        </is>
      </c>
      <c r="I99" s="23" t="inlineStr">
        <is>
          <t>3214929/XAUUSD/2026-07-29_55988453_XAUUSD_sell_loss</t>
        </is>
      </c>
    </row>
    <row r="100">
      <c r="A100" s="24" t="n">
        <v>11</v>
      </c>
      <c r="B100" s="26" t="n">
        <v>55988453</v>
      </c>
      <c r="C100" s="27" t="inlineStr">
        <is>
          <t>XAUUSD</t>
        </is>
      </c>
      <c r="D100" s="27" t="inlineStr">
        <is>
          <t>sell</t>
        </is>
      </c>
      <c r="E100" s="27" t="inlineStr">
        <is>
          <t>M5</t>
        </is>
      </c>
      <c r="F100" s="27" t="inlineStr">
        <is>
          <t>open</t>
        </is>
      </c>
      <c r="G100" s="27" t="inlineStr">
        <is>
          <t>Loss</t>
        </is>
      </c>
      <c r="H100" s="65" t="inlineStr">
        <is>
          <t>40_55988453_XAUUSD_sell_M5_open_2026-07-29-163201.png</t>
        </is>
      </c>
      <c r="I100" s="23" t="inlineStr">
        <is>
          <t>3214929/XAUUSD/2026-07-29_55988453_XAUUSD_sell_loss</t>
        </is>
      </c>
    </row>
    <row r="101">
      <c r="A101" s="24" t="n">
        <v>11</v>
      </c>
      <c r="B101" s="26" t="n">
        <v>55988453</v>
      </c>
      <c r="C101" s="27" t="inlineStr">
        <is>
          <t>XAUUSD</t>
        </is>
      </c>
      <c r="D101" s="27" t="inlineStr">
        <is>
          <t>sell</t>
        </is>
      </c>
      <c r="E101" s="27" t="inlineStr">
        <is>
          <t>M1</t>
        </is>
      </c>
      <c r="F101" s="27" t="inlineStr">
        <is>
          <t>close</t>
        </is>
      </c>
      <c r="G101" s="27" t="inlineStr">
        <is>
          <t>Loss</t>
        </is>
      </c>
      <c r="H101" s="65" t="inlineStr">
        <is>
          <t>50_55988453_XAUUSD_sell_M1_close_2026-07-29-163404.png</t>
        </is>
      </c>
      <c r="I101" s="23" t="inlineStr">
        <is>
          <t>3214929/XAUUSD/2026-07-29_55988453_XAUUSD_sell_loss</t>
        </is>
      </c>
    </row>
    <row r="102">
      <c r="A102" s="24" t="n">
        <v>11</v>
      </c>
      <c r="B102" s="26" t="n">
        <v>55988453</v>
      </c>
      <c r="C102" s="27" t="inlineStr">
        <is>
          <t>XAUUSD</t>
        </is>
      </c>
      <c r="D102" s="27" t="inlineStr">
        <is>
          <t>sell</t>
        </is>
      </c>
      <c r="E102" s="27" t="inlineStr">
        <is>
          <t>M1</t>
        </is>
      </c>
      <c r="F102" s="27" t="inlineStr">
        <is>
          <t>journey</t>
        </is>
      </c>
      <c r="G102" s="27" t="inlineStr">
        <is>
          <t>Loss</t>
        </is>
      </c>
      <c r="H102" s="65" t="inlineStr">
        <is>
          <t>50_55988453_XAUUSD_sell_M1_journey_2026-07-29-163201.png</t>
        </is>
      </c>
      <c r="I102" s="23" t="inlineStr">
        <is>
          <t>3214929/XAUUSD/2026-07-29_55988453_XAUUSD_sell_loss</t>
        </is>
      </c>
    </row>
    <row r="103">
      <c r="A103" s="24" t="n">
        <v>11</v>
      </c>
      <c r="B103" s="26" t="n">
        <v>55988453</v>
      </c>
      <c r="C103" s="27" t="inlineStr">
        <is>
          <t>XAUUSD</t>
        </is>
      </c>
      <c r="D103" s="27" t="inlineStr">
        <is>
          <t>sell</t>
        </is>
      </c>
      <c r="E103" s="27" t="inlineStr">
        <is>
          <t>M1</t>
        </is>
      </c>
      <c r="F103" s="27" t="inlineStr">
        <is>
          <t>open</t>
        </is>
      </c>
      <c r="G103" s="27" t="inlineStr">
        <is>
          <t>Loss</t>
        </is>
      </c>
      <c r="H103" s="65" t="inlineStr">
        <is>
          <t>50_55988453_XAUUSD_sell_M1_open_2026-07-29-163201.png</t>
        </is>
      </c>
      <c r="I103" s="23" t="inlineStr">
        <is>
          <t>3214929/XAUUSD/2026-07-29_55988453_XAUUSD_sell_loss</t>
        </is>
      </c>
    </row>
    <row r="104">
      <c r="A104" s="24" t="n">
        <v>12</v>
      </c>
      <c r="B104" s="26" t="n">
        <v>55992315</v>
      </c>
      <c r="C104" s="27" t="inlineStr">
        <is>
          <t>NIKJPY</t>
        </is>
      </c>
      <c r="D104" s="27" t="inlineStr">
        <is>
          <t>sell</t>
        </is>
      </c>
      <c r="E104" s="27" t="inlineStr">
        <is>
          <t>H4</t>
        </is>
      </c>
      <c r="F104" s="27" t="inlineStr">
        <is>
          <t>close</t>
        </is>
      </c>
      <c r="G104" s="27" t="inlineStr">
        <is>
          <t>Loss</t>
        </is>
      </c>
      <c r="H104" s="65" t="inlineStr">
        <is>
          <t>10_55992315_NIKJPY_sell_H4_close_2026-07-29-165242.png</t>
        </is>
      </c>
      <c r="I104" s="23" t="inlineStr">
        <is>
          <t>3214929/NIKJPY/2026-07-29_55992315_NIKJPY_sell_loss</t>
        </is>
      </c>
    </row>
    <row r="105">
      <c r="A105" s="24" t="n">
        <v>12</v>
      </c>
      <c r="B105" s="26" t="n">
        <v>55992315</v>
      </c>
      <c r="C105" s="27" t="inlineStr">
        <is>
          <t>NIKJPY</t>
        </is>
      </c>
      <c r="D105" s="27" t="inlineStr">
        <is>
          <t>sell</t>
        </is>
      </c>
      <c r="E105" s="27" t="inlineStr">
        <is>
          <t>H1</t>
        </is>
      </c>
      <c r="F105" s="27" t="inlineStr">
        <is>
          <t>close</t>
        </is>
      </c>
      <c r="G105" s="27" t="inlineStr">
        <is>
          <t>Loss</t>
        </is>
      </c>
      <c r="H105" s="65" t="inlineStr">
        <is>
          <t>20_55992315_NIKJPY_sell_H1_close_2026-07-29-165242.png</t>
        </is>
      </c>
      <c r="I105" s="23" t="inlineStr">
        <is>
          <t>3214929/NIKJPY/2026-07-29_55992315_NIKJPY_sell_loss</t>
        </is>
      </c>
    </row>
    <row r="106">
      <c r="A106" s="24" t="n">
        <v>12</v>
      </c>
      <c r="B106" s="26" t="n">
        <v>55992315</v>
      </c>
      <c r="C106" s="27" t="inlineStr">
        <is>
          <t>NIKJPY</t>
        </is>
      </c>
      <c r="D106" s="27" t="inlineStr">
        <is>
          <t>sell</t>
        </is>
      </c>
      <c r="E106" s="27" t="inlineStr">
        <is>
          <t>M15</t>
        </is>
      </c>
      <c r="F106" s="27" t="inlineStr">
        <is>
          <t>close</t>
        </is>
      </c>
      <c r="G106" s="27" t="inlineStr">
        <is>
          <t>Loss</t>
        </is>
      </c>
      <c r="H106" s="65" t="inlineStr">
        <is>
          <t>30_55992315_NIKJPY_sell_M15_close_2026-07-29-165242.png</t>
        </is>
      </c>
      <c r="I106" s="23" t="inlineStr">
        <is>
          <t>3214929/NIKJPY/2026-07-29_55992315_NIKJPY_sell_loss</t>
        </is>
      </c>
    </row>
    <row r="107">
      <c r="A107" s="24" t="n">
        <v>12</v>
      </c>
      <c r="B107" s="26" t="n">
        <v>55992315</v>
      </c>
      <c r="C107" s="27" t="inlineStr">
        <is>
          <t>NIKJPY</t>
        </is>
      </c>
      <c r="D107" s="27" t="inlineStr">
        <is>
          <t>sell</t>
        </is>
      </c>
      <c r="E107" s="27" t="inlineStr">
        <is>
          <t>M15</t>
        </is>
      </c>
      <c r="F107" s="27" t="inlineStr">
        <is>
          <t>open</t>
        </is>
      </c>
      <c r="G107" s="27" t="inlineStr">
        <is>
          <t>Loss</t>
        </is>
      </c>
      <c r="H107" s="65" t="inlineStr">
        <is>
          <t>30_55992315_NIKJPY_sell_M15_open_2026-07-29-164712.png</t>
        </is>
      </c>
      <c r="I107" s="23" t="inlineStr">
        <is>
          <t>3214929/NIKJPY/2026-07-29_55992315_NIKJPY_sell_loss</t>
        </is>
      </c>
    </row>
    <row r="108">
      <c r="A108" s="24" t="n">
        <v>12</v>
      </c>
      <c r="B108" s="26" t="n">
        <v>55992315</v>
      </c>
      <c r="C108" s="27" t="inlineStr">
        <is>
          <t>NIKJPY</t>
        </is>
      </c>
      <c r="D108" s="27" t="inlineStr">
        <is>
          <t>sell</t>
        </is>
      </c>
      <c r="E108" s="27" t="inlineStr">
        <is>
          <t>M5</t>
        </is>
      </c>
      <c r="F108" s="27" t="inlineStr">
        <is>
          <t>close</t>
        </is>
      </c>
      <c r="G108" s="27" t="inlineStr">
        <is>
          <t>Loss</t>
        </is>
      </c>
      <c r="H108" s="65" t="inlineStr">
        <is>
          <t>40_55992315_NIKJPY_sell_M5_close_2026-07-29-165242.png</t>
        </is>
      </c>
      <c r="I108" s="23" t="inlineStr">
        <is>
          <t>3214929/NIKJPY/2026-07-29_55992315_NIKJPY_sell_loss</t>
        </is>
      </c>
    </row>
    <row r="109">
      <c r="A109" s="24" t="n">
        <v>12</v>
      </c>
      <c r="B109" s="26" t="n">
        <v>55992315</v>
      </c>
      <c r="C109" s="27" t="inlineStr">
        <is>
          <t>NIKJPY</t>
        </is>
      </c>
      <c r="D109" s="27" t="inlineStr">
        <is>
          <t>sell</t>
        </is>
      </c>
      <c r="E109" s="27" t="inlineStr">
        <is>
          <t>M5</t>
        </is>
      </c>
      <c r="F109" s="27" t="inlineStr">
        <is>
          <t>open</t>
        </is>
      </c>
      <c r="G109" s="27" t="inlineStr">
        <is>
          <t>Loss</t>
        </is>
      </c>
      <c r="H109" s="65" t="inlineStr">
        <is>
          <t>40_55992315_NIKJPY_sell_M5_open_2026-07-29-164712.png</t>
        </is>
      </c>
      <c r="I109" s="23" t="inlineStr">
        <is>
          <t>3214929/NIKJPY/2026-07-29_55992315_NIKJPY_sell_loss</t>
        </is>
      </c>
    </row>
    <row r="110">
      <c r="A110" s="24" t="n">
        <v>12</v>
      </c>
      <c r="B110" s="26" t="n">
        <v>55992315</v>
      </c>
      <c r="C110" s="27" t="inlineStr">
        <is>
          <t>NIKJPY</t>
        </is>
      </c>
      <c r="D110" s="27" t="inlineStr">
        <is>
          <t>sell</t>
        </is>
      </c>
      <c r="E110" s="27" t="inlineStr">
        <is>
          <t>M1</t>
        </is>
      </c>
      <c r="F110" s="27" t="inlineStr">
        <is>
          <t>close</t>
        </is>
      </c>
      <c r="G110" s="27" t="inlineStr">
        <is>
          <t>Loss</t>
        </is>
      </c>
      <c r="H110" s="65" t="inlineStr">
        <is>
          <t>50_55992315_NIKJPY_sell_M1_close_2026-07-29-165242.png</t>
        </is>
      </c>
      <c r="I110" s="23" t="inlineStr">
        <is>
          <t>3214929/NIKJPY/2026-07-29_55992315_NIKJPY_sell_loss</t>
        </is>
      </c>
    </row>
    <row r="111">
      <c r="A111" s="24" t="n">
        <v>12</v>
      </c>
      <c r="B111" s="26" t="n">
        <v>55992315</v>
      </c>
      <c r="C111" s="27" t="inlineStr">
        <is>
          <t>NIKJPY</t>
        </is>
      </c>
      <c r="D111" s="27" t="inlineStr">
        <is>
          <t>sell</t>
        </is>
      </c>
      <c r="E111" s="27" t="inlineStr">
        <is>
          <t>M1</t>
        </is>
      </c>
      <c r="F111" s="27" t="inlineStr">
        <is>
          <t>journey</t>
        </is>
      </c>
      <c r="G111" s="27" t="inlineStr">
        <is>
          <t>Loss</t>
        </is>
      </c>
      <c r="H111" s="65" t="inlineStr">
        <is>
          <t>50_55992315_NIKJPY_sell_M1_journey_2026-07-29-164712.png</t>
        </is>
      </c>
      <c r="I111" s="23" t="inlineStr">
        <is>
          <t>3214929/NIKJPY/2026-07-29_55992315_NIKJPY_sell_loss</t>
        </is>
      </c>
    </row>
    <row r="112">
      <c r="A112" s="24" t="n">
        <v>12</v>
      </c>
      <c r="B112" s="26" t="n">
        <v>55992315</v>
      </c>
      <c r="C112" s="27" t="inlineStr">
        <is>
          <t>NIKJPY</t>
        </is>
      </c>
      <c r="D112" s="27" t="inlineStr">
        <is>
          <t>sell</t>
        </is>
      </c>
      <c r="E112" s="27" t="inlineStr">
        <is>
          <t>M1</t>
        </is>
      </c>
      <c r="F112" s="27" t="inlineStr">
        <is>
          <t>open</t>
        </is>
      </c>
      <c r="G112" s="27" t="inlineStr">
        <is>
          <t>Loss</t>
        </is>
      </c>
      <c r="H112" s="65" t="inlineStr">
        <is>
          <t>50_55992315_NIKJPY_sell_M1_open_2026-07-29-164712.png</t>
        </is>
      </c>
      <c r="I112" s="23" t="inlineStr">
        <is>
          <t>3214929/NIKJPY/2026-07-29_55992315_NIKJPY_sell_loss</t>
        </is>
      </c>
    </row>
    <row r="113">
      <c r="A113" s="24" t="n">
        <v>13</v>
      </c>
      <c r="B113" s="26" t="n">
        <v>55991304</v>
      </c>
      <c r="C113" s="27" t="inlineStr">
        <is>
          <t>XAUUSD</t>
        </is>
      </c>
      <c r="D113" s="27" t="inlineStr">
        <is>
          <t>sell</t>
        </is>
      </c>
      <c r="E113" s="27" t="inlineStr">
        <is>
          <t>H4</t>
        </is>
      </c>
      <c r="F113" s="27" t="inlineStr">
        <is>
          <t>close</t>
        </is>
      </c>
      <c r="G113" s="27" t="inlineStr">
        <is>
          <t>Loss</t>
        </is>
      </c>
      <c r="H113" s="65" t="inlineStr">
        <is>
          <t>10_55991304_XAUUSD_sell_H4_close_2026-07-29-165242.png</t>
        </is>
      </c>
      <c r="I113" s="23" t="inlineStr">
        <is>
          <t>3214929/XAUUSD/2026-07-29_55991304_XAUUSD_sell_loss</t>
        </is>
      </c>
    </row>
    <row r="114">
      <c r="A114" s="24" t="n">
        <v>13</v>
      </c>
      <c r="B114" s="26" t="n">
        <v>55991304</v>
      </c>
      <c r="C114" s="27" t="inlineStr">
        <is>
          <t>XAUUSD</t>
        </is>
      </c>
      <c r="D114" s="27" t="inlineStr">
        <is>
          <t>sell</t>
        </is>
      </c>
      <c r="E114" s="27" t="inlineStr">
        <is>
          <t>H1</t>
        </is>
      </c>
      <c r="F114" s="27" t="inlineStr">
        <is>
          <t>close</t>
        </is>
      </c>
      <c r="G114" s="27" t="inlineStr">
        <is>
          <t>Loss</t>
        </is>
      </c>
      <c r="H114" s="65" t="inlineStr">
        <is>
          <t>20_55991304_XAUUSD_sell_H1_close_2026-07-29-165242.png</t>
        </is>
      </c>
      <c r="I114" s="23" t="inlineStr">
        <is>
          <t>3214929/XAUUSD/2026-07-29_55991304_XAUUSD_sell_loss</t>
        </is>
      </c>
    </row>
    <row r="115">
      <c r="A115" s="24" t="n">
        <v>13</v>
      </c>
      <c r="B115" s="26" t="n">
        <v>55991304</v>
      </c>
      <c r="C115" s="27" t="inlineStr">
        <is>
          <t>XAUUSD</t>
        </is>
      </c>
      <c r="D115" s="27" t="inlineStr">
        <is>
          <t>sell</t>
        </is>
      </c>
      <c r="E115" s="27" t="inlineStr">
        <is>
          <t>M15</t>
        </is>
      </c>
      <c r="F115" s="27" t="inlineStr">
        <is>
          <t>close</t>
        </is>
      </c>
      <c r="G115" s="27" t="inlineStr">
        <is>
          <t>Loss</t>
        </is>
      </c>
      <c r="H115" s="65" t="inlineStr">
        <is>
          <t>30_55991304_XAUUSD_sell_M15_close_2026-07-29-165242.png</t>
        </is>
      </c>
      <c r="I115" s="23" t="inlineStr">
        <is>
          <t>3214929/XAUUSD/2026-07-29_55991304_XAUUSD_sell_loss</t>
        </is>
      </c>
    </row>
    <row r="116">
      <c r="A116" s="24" t="n">
        <v>13</v>
      </c>
      <c r="B116" s="26" t="n">
        <v>55991304</v>
      </c>
      <c r="C116" s="27" t="inlineStr">
        <is>
          <t>XAUUSD</t>
        </is>
      </c>
      <c r="D116" s="27" t="inlineStr">
        <is>
          <t>sell</t>
        </is>
      </c>
      <c r="E116" s="27" t="inlineStr">
        <is>
          <t>M15</t>
        </is>
      </c>
      <c r="F116" s="27" t="inlineStr">
        <is>
          <t>open</t>
        </is>
      </c>
      <c r="G116" s="27" t="inlineStr">
        <is>
          <t>Loss</t>
        </is>
      </c>
      <c r="H116" s="65" t="inlineStr">
        <is>
          <t>30_55991304_XAUUSD_sell_M15_open_2026-07-29-165157.png</t>
        </is>
      </c>
      <c r="I116" s="23" t="inlineStr">
        <is>
          <t>3214929/XAUUSD/2026-07-29_55991304_XAUUSD_sell_loss</t>
        </is>
      </c>
    </row>
    <row r="117">
      <c r="A117" s="24" t="n">
        <v>13</v>
      </c>
      <c r="B117" s="26" t="n">
        <v>55991304</v>
      </c>
      <c r="C117" s="27" t="inlineStr">
        <is>
          <t>XAUUSD</t>
        </is>
      </c>
      <c r="D117" s="27" t="inlineStr">
        <is>
          <t>sell</t>
        </is>
      </c>
      <c r="E117" s="27" t="inlineStr">
        <is>
          <t>M5</t>
        </is>
      </c>
      <c r="F117" s="27" t="inlineStr">
        <is>
          <t>close</t>
        </is>
      </c>
      <c r="G117" s="27" t="inlineStr">
        <is>
          <t>Loss</t>
        </is>
      </c>
      <c r="H117" s="65" t="inlineStr">
        <is>
          <t>40_55991304_XAUUSD_sell_M5_close_2026-07-29-165242.png</t>
        </is>
      </c>
      <c r="I117" s="23" t="inlineStr">
        <is>
          <t>3214929/XAUUSD/2026-07-29_55991304_XAUUSD_sell_loss</t>
        </is>
      </c>
    </row>
    <row r="118">
      <c r="A118" s="24" t="n">
        <v>13</v>
      </c>
      <c r="B118" s="26" t="n">
        <v>55991304</v>
      </c>
      <c r="C118" s="27" t="inlineStr">
        <is>
          <t>XAUUSD</t>
        </is>
      </c>
      <c r="D118" s="27" t="inlineStr">
        <is>
          <t>sell</t>
        </is>
      </c>
      <c r="E118" s="27" t="inlineStr">
        <is>
          <t>M5</t>
        </is>
      </c>
      <c r="F118" s="27" t="inlineStr">
        <is>
          <t>open</t>
        </is>
      </c>
      <c r="G118" s="27" t="inlineStr">
        <is>
          <t>Loss</t>
        </is>
      </c>
      <c r="H118" s="65" t="inlineStr">
        <is>
          <t>40_55991304_XAUUSD_sell_M5_open_2026-07-29-165157.png</t>
        </is>
      </c>
      <c r="I118" s="23" t="inlineStr">
        <is>
          <t>3214929/XAUUSD/2026-07-29_55991304_XAUUSD_sell_loss</t>
        </is>
      </c>
    </row>
    <row r="119">
      <c r="A119" s="24" t="n">
        <v>13</v>
      </c>
      <c r="B119" s="26" t="n">
        <v>55991304</v>
      </c>
      <c r="C119" s="27" t="inlineStr">
        <is>
          <t>XAUUSD</t>
        </is>
      </c>
      <c r="D119" s="27" t="inlineStr">
        <is>
          <t>sell</t>
        </is>
      </c>
      <c r="E119" s="27" t="inlineStr">
        <is>
          <t>M1</t>
        </is>
      </c>
      <c r="F119" s="27" t="inlineStr">
        <is>
          <t>close</t>
        </is>
      </c>
      <c r="G119" s="27" t="inlineStr">
        <is>
          <t>Loss</t>
        </is>
      </c>
      <c r="H119" s="65" t="inlineStr">
        <is>
          <t>50_55991304_XAUUSD_sell_M1_close_2026-07-29-165242.png</t>
        </is>
      </c>
      <c r="I119" s="23" t="inlineStr">
        <is>
          <t>3214929/XAUUSD/2026-07-29_55991304_XAUUSD_sell_loss</t>
        </is>
      </c>
    </row>
    <row r="120">
      <c r="A120" s="24" t="n">
        <v>13</v>
      </c>
      <c r="B120" s="26" t="n">
        <v>55991304</v>
      </c>
      <c r="C120" s="27" t="inlineStr">
        <is>
          <t>XAUUSD</t>
        </is>
      </c>
      <c r="D120" s="27" t="inlineStr">
        <is>
          <t>sell</t>
        </is>
      </c>
      <c r="E120" s="27" t="inlineStr">
        <is>
          <t>M1</t>
        </is>
      </c>
      <c r="F120" s="27" t="inlineStr">
        <is>
          <t>journey</t>
        </is>
      </c>
      <c r="G120" s="27" t="inlineStr">
        <is>
          <t>Loss</t>
        </is>
      </c>
      <c r="H120" s="65" t="inlineStr">
        <is>
          <t>50_55991304_XAUUSD_sell_M1_journey_2026-07-29-165157.png</t>
        </is>
      </c>
      <c r="I120" s="23" t="inlineStr">
        <is>
          <t>3214929/XAUUSD/2026-07-29_55991304_XAUUSD_sell_loss</t>
        </is>
      </c>
    </row>
    <row r="121">
      <c r="A121" s="24" t="n">
        <v>13</v>
      </c>
      <c r="B121" s="26" t="n">
        <v>55991304</v>
      </c>
      <c r="C121" s="27" t="inlineStr">
        <is>
          <t>XAUUSD</t>
        </is>
      </c>
      <c r="D121" s="27" t="inlineStr">
        <is>
          <t>sell</t>
        </is>
      </c>
      <c r="E121" s="27" t="inlineStr">
        <is>
          <t>M1</t>
        </is>
      </c>
      <c r="F121" s="27" t="inlineStr">
        <is>
          <t>open</t>
        </is>
      </c>
      <c r="G121" s="27" t="inlineStr">
        <is>
          <t>Loss</t>
        </is>
      </c>
      <c r="H121" s="65" t="inlineStr">
        <is>
          <t>50_55991304_XAUUSD_sell_M1_open_2026-07-29-165157.png</t>
        </is>
      </c>
      <c r="I121" s="23" t="inlineStr">
        <is>
          <t>3214929/XAUUSD/2026-07-29_55991304_XAUUSD_sell_loss</t>
        </is>
      </c>
    </row>
    <row r="122">
      <c r="A122" s="24" t="n">
        <v>14</v>
      </c>
      <c r="B122" s="26" t="n">
        <v>55997123</v>
      </c>
      <c r="C122" s="27" t="inlineStr">
        <is>
          <t>XAUUSD</t>
        </is>
      </c>
      <c r="D122" s="27" t="inlineStr">
        <is>
          <t>buy</t>
        </is>
      </c>
      <c r="E122" s="27" t="inlineStr">
        <is>
          <t>H4</t>
        </is>
      </c>
      <c r="F122" s="27" t="inlineStr">
        <is>
          <t>close</t>
        </is>
      </c>
      <c r="G122" s="27" t="inlineStr">
        <is>
          <t>Loss</t>
        </is>
      </c>
      <c r="H122" s="65" t="inlineStr">
        <is>
          <t>10_55997123_XAUUSD_buy_H4_close_2026-07-29-165900.png</t>
        </is>
      </c>
      <c r="I122" s="23" t="inlineStr">
        <is>
          <t>3214929/XAUUSD/2026-07-29_55997123_XAUUSD_buy_loss</t>
        </is>
      </c>
    </row>
    <row r="123">
      <c r="A123" s="24" t="n">
        <v>14</v>
      </c>
      <c r="B123" s="26" t="n">
        <v>55997123</v>
      </c>
      <c r="C123" s="27" t="inlineStr">
        <is>
          <t>XAUUSD</t>
        </is>
      </c>
      <c r="D123" s="27" t="inlineStr">
        <is>
          <t>buy</t>
        </is>
      </c>
      <c r="E123" s="27" t="inlineStr">
        <is>
          <t>H1</t>
        </is>
      </c>
      <c r="F123" s="27" t="inlineStr">
        <is>
          <t>close</t>
        </is>
      </c>
      <c r="G123" s="27" t="inlineStr">
        <is>
          <t>Loss</t>
        </is>
      </c>
      <c r="H123" s="65" t="inlineStr">
        <is>
          <t>20_55997123_XAUUSD_buy_H1_close_2026-07-29-165900.png</t>
        </is>
      </c>
      <c r="I123" s="23" t="inlineStr">
        <is>
          <t>3214929/XAUUSD/2026-07-29_55997123_XAUUSD_buy_loss</t>
        </is>
      </c>
    </row>
    <row r="124">
      <c r="A124" s="24" t="n">
        <v>14</v>
      </c>
      <c r="B124" s="26" t="n">
        <v>55997123</v>
      </c>
      <c r="C124" s="27" t="inlineStr">
        <is>
          <t>XAUUSD</t>
        </is>
      </c>
      <c r="D124" s="27" t="inlineStr">
        <is>
          <t>buy</t>
        </is>
      </c>
      <c r="E124" s="27" t="inlineStr">
        <is>
          <t>M15</t>
        </is>
      </c>
      <c r="F124" s="27" t="inlineStr">
        <is>
          <t>close</t>
        </is>
      </c>
      <c r="G124" s="27" t="inlineStr">
        <is>
          <t>Loss</t>
        </is>
      </c>
      <c r="H124" s="65" t="inlineStr">
        <is>
          <t>30_55997123_XAUUSD_buy_M15_close_2026-07-29-165900.png</t>
        </is>
      </c>
      <c r="I124" s="23" t="inlineStr">
        <is>
          <t>3214929/XAUUSD/2026-07-29_55997123_XAUUSD_buy_loss</t>
        </is>
      </c>
    </row>
    <row r="125">
      <c r="A125" s="24" t="n">
        <v>14</v>
      </c>
      <c r="B125" s="26" t="n">
        <v>55997123</v>
      </c>
      <c r="C125" s="27" t="inlineStr">
        <is>
          <t>XAUUSD</t>
        </is>
      </c>
      <c r="D125" s="27" t="inlineStr">
        <is>
          <t>buy</t>
        </is>
      </c>
      <c r="E125" s="27" t="inlineStr">
        <is>
          <t>M15</t>
        </is>
      </c>
      <c r="F125" s="27" t="inlineStr">
        <is>
          <t>open</t>
        </is>
      </c>
      <c r="G125" s="27" t="inlineStr">
        <is>
          <t>Loss</t>
        </is>
      </c>
      <c r="H125" s="65" t="inlineStr">
        <is>
          <t>30_55997123_XAUUSD_buy_M15_open_2026-07-29-165628.png</t>
        </is>
      </c>
      <c r="I125" s="23" t="inlineStr">
        <is>
          <t>3214929/XAUUSD/2026-07-29_55997123_XAUUSD_buy_loss</t>
        </is>
      </c>
    </row>
    <row r="126">
      <c r="A126" s="24" t="n">
        <v>14</v>
      </c>
      <c r="B126" s="26" t="n">
        <v>55997123</v>
      </c>
      <c r="C126" s="27" t="inlineStr">
        <is>
          <t>XAUUSD</t>
        </is>
      </c>
      <c r="D126" s="27" t="inlineStr">
        <is>
          <t>buy</t>
        </is>
      </c>
      <c r="E126" s="27" t="inlineStr">
        <is>
          <t>M5</t>
        </is>
      </c>
      <c r="F126" s="27" t="inlineStr">
        <is>
          <t>close</t>
        </is>
      </c>
      <c r="G126" s="27" t="inlineStr">
        <is>
          <t>Loss</t>
        </is>
      </c>
      <c r="H126" s="65" t="inlineStr">
        <is>
          <t>40_55997123_XAUUSD_buy_M5_close_2026-07-29-165900.png</t>
        </is>
      </c>
      <c r="I126" s="23" t="inlineStr">
        <is>
          <t>3214929/XAUUSD/2026-07-29_55997123_XAUUSD_buy_loss</t>
        </is>
      </c>
    </row>
    <row r="127">
      <c r="A127" s="24" t="n">
        <v>14</v>
      </c>
      <c r="B127" s="26" t="n">
        <v>55997123</v>
      </c>
      <c r="C127" s="27" t="inlineStr">
        <is>
          <t>XAUUSD</t>
        </is>
      </c>
      <c r="D127" s="27" t="inlineStr">
        <is>
          <t>buy</t>
        </is>
      </c>
      <c r="E127" s="27" t="inlineStr">
        <is>
          <t>M5</t>
        </is>
      </c>
      <c r="F127" s="27" t="inlineStr">
        <is>
          <t>open</t>
        </is>
      </c>
      <c r="G127" s="27" t="inlineStr">
        <is>
          <t>Loss</t>
        </is>
      </c>
      <c r="H127" s="65" t="inlineStr">
        <is>
          <t>40_55997123_XAUUSD_buy_M5_open_2026-07-29-165628.png</t>
        </is>
      </c>
      <c r="I127" s="23" t="inlineStr">
        <is>
          <t>3214929/XAUUSD/2026-07-29_55997123_XAUUSD_buy_loss</t>
        </is>
      </c>
    </row>
    <row r="128">
      <c r="A128" s="24" t="n">
        <v>14</v>
      </c>
      <c r="B128" s="26" t="n">
        <v>55997123</v>
      </c>
      <c r="C128" s="27" t="inlineStr">
        <is>
          <t>XAUUSD</t>
        </is>
      </c>
      <c r="D128" s="27" t="inlineStr">
        <is>
          <t>buy</t>
        </is>
      </c>
      <c r="E128" s="27" t="inlineStr">
        <is>
          <t>M1</t>
        </is>
      </c>
      <c r="F128" s="27" t="inlineStr">
        <is>
          <t>close</t>
        </is>
      </c>
      <c r="G128" s="27" t="inlineStr">
        <is>
          <t>Loss</t>
        </is>
      </c>
      <c r="H128" s="65" t="inlineStr">
        <is>
          <t>50_55997123_XAUUSD_buy_M1_close_2026-07-29-165900.png</t>
        </is>
      </c>
      <c r="I128" s="23" t="inlineStr">
        <is>
          <t>3214929/XAUUSD/2026-07-29_55997123_XAUUSD_buy_loss</t>
        </is>
      </c>
    </row>
    <row r="129">
      <c r="A129" s="24" t="n">
        <v>14</v>
      </c>
      <c r="B129" s="26" t="n">
        <v>55997123</v>
      </c>
      <c r="C129" s="27" t="inlineStr">
        <is>
          <t>XAUUSD</t>
        </is>
      </c>
      <c r="D129" s="27" t="inlineStr">
        <is>
          <t>buy</t>
        </is>
      </c>
      <c r="E129" s="27" t="inlineStr">
        <is>
          <t>M1</t>
        </is>
      </c>
      <c r="F129" s="27" t="inlineStr">
        <is>
          <t>journey</t>
        </is>
      </c>
      <c r="G129" s="27" t="inlineStr">
        <is>
          <t>Loss</t>
        </is>
      </c>
      <c r="H129" s="65" t="inlineStr">
        <is>
          <t>50_55997123_XAUUSD_buy_M1_journey_2026-07-29-165628.png</t>
        </is>
      </c>
      <c r="I129" s="23" t="inlineStr">
        <is>
          <t>3214929/XAUUSD/2026-07-29_55997123_XAUUSD_buy_loss</t>
        </is>
      </c>
    </row>
    <row r="130">
      <c r="A130" s="24" t="n">
        <v>14</v>
      </c>
      <c r="B130" s="26" t="n">
        <v>55997123</v>
      </c>
      <c r="C130" s="27" t="inlineStr">
        <is>
          <t>XAUUSD</t>
        </is>
      </c>
      <c r="D130" s="27" t="inlineStr">
        <is>
          <t>buy</t>
        </is>
      </c>
      <c r="E130" s="27" t="inlineStr">
        <is>
          <t>M1</t>
        </is>
      </c>
      <c r="F130" s="27" t="inlineStr">
        <is>
          <t>open</t>
        </is>
      </c>
      <c r="G130" s="27" t="inlineStr">
        <is>
          <t>Loss</t>
        </is>
      </c>
      <c r="H130" s="65" t="inlineStr">
        <is>
          <t>50_55997123_XAUUSD_buy_M1_open_2026-07-29-165628.png</t>
        </is>
      </c>
      <c r="I130" s="23" t="inlineStr">
        <is>
          <t>3214929/XAUUSD/2026-07-29_55997123_XAUUSD_buy_loss</t>
        </is>
      </c>
    </row>
    <row r="131">
      <c r="A131" s="24" t="n">
        <v>15</v>
      </c>
      <c r="B131" s="26" t="n">
        <v>56010530</v>
      </c>
      <c r="C131" s="27" t="inlineStr">
        <is>
          <t>XAUUSD</t>
        </is>
      </c>
      <c r="D131" s="27" t="inlineStr">
        <is>
          <t>buy</t>
        </is>
      </c>
      <c r="E131" s="27" t="inlineStr">
        <is>
          <t>H4</t>
        </is>
      </c>
      <c r="F131" s="27" t="inlineStr">
        <is>
          <t>close</t>
        </is>
      </c>
      <c r="G131" s="27" t="inlineStr">
        <is>
          <t>Loss</t>
        </is>
      </c>
      <c r="H131" s="65" t="inlineStr">
        <is>
          <t>10_56010530_XAUUSD_buy_H4_close_2026-07-29-174029.png</t>
        </is>
      </c>
      <c r="I131" s="23" t="inlineStr">
        <is>
          <t>3214929/XAUUSD/2026-07-29_56010530_XAUUSD_buy_loss</t>
        </is>
      </c>
    </row>
    <row r="132">
      <c r="A132" s="24" t="n">
        <v>15</v>
      </c>
      <c r="B132" s="26" t="n">
        <v>56010530</v>
      </c>
      <c r="C132" s="27" t="inlineStr">
        <is>
          <t>XAUUSD</t>
        </is>
      </c>
      <c r="D132" s="27" t="inlineStr">
        <is>
          <t>buy</t>
        </is>
      </c>
      <c r="E132" s="27" t="inlineStr">
        <is>
          <t>H1</t>
        </is>
      </c>
      <c r="F132" s="27" t="inlineStr">
        <is>
          <t>close</t>
        </is>
      </c>
      <c r="G132" s="27" t="inlineStr">
        <is>
          <t>Loss</t>
        </is>
      </c>
      <c r="H132" s="65" t="inlineStr">
        <is>
          <t>20_56010530_XAUUSD_buy_H1_close_2026-07-29-174029.png</t>
        </is>
      </c>
      <c r="I132" s="23" t="inlineStr">
        <is>
          <t>3214929/XAUUSD/2026-07-29_56010530_XAUUSD_buy_loss</t>
        </is>
      </c>
    </row>
    <row r="133">
      <c r="A133" s="24" t="n">
        <v>15</v>
      </c>
      <c r="B133" s="26" t="n">
        <v>56010530</v>
      </c>
      <c r="C133" s="27" t="inlineStr">
        <is>
          <t>XAUUSD</t>
        </is>
      </c>
      <c r="D133" s="27" t="inlineStr">
        <is>
          <t>buy</t>
        </is>
      </c>
      <c r="E133" s="27" t="inlineStr">
        <is>
          <t>M15</t>
        </is>
      </c>
      <c r="F133" s="27" t="inlineStr">
        <is>
          <t>close</t>
        </is>
      </c>
      <c r="G133" s="27" t="inlineStr">
        <is>
          <t>Loss</t>
        </is>
      </c>
      <c r="H133" s="65" t="inlineStr">
        <is>
          <t>30_56010530_XAUUSD_buy_M15_close_2026-07-29-174029.png</t>
        </is>
      </c>
      <c r="I133" s="23" t="inlineStr">
        <is>
          <t>3214929/XAUUSD/2026-07-29_56010530_XAUUSD_buy_loss</t>
        </is>
      </c>
    </row>
    <row r="134">
      <c r="A134" s="24" t="n">
        <v>15</v>
      </c>
      <c r="B134" s="26" t="n">
        <v>56010530</v>
      </c>
      <c r="C134" s="27" t="inlineStr">
        <is>
          <t>XAUUSD</t>
        </is>
      </c>
      <c r="D134" s="27" t="inlineStr">
        <is>
          <t>buy</t>
        </is>
      </c>
      <c r="E134" s="27" t="inlineStr">
        <is>
          <t>M15</t>
        </is>
      </c>
      <c r="F134" s="27" t="inlineStr">
        <is>
          <t>open</t>
        </is>
      </c>
      <c r="G134" s="27" t="inlineStr">
        <is>
          <t>Loss</t>
        </is>
      </c>
      <c r="H134" s="65" t="inlineStr">
        <is>
          <t>30_56010530_XAUUSD_buy_M15_open_2026-07-29-172842.png</t>
        </is>
      </c>
      <c r="I134" s="23" t="inlineStr">
        <is>
          <t>3214929/XAUUSD/2026-07-29_56010530_XAUUSD_buy_loss</t>
        </is>
      </c>
    </row>
    <row r="135">
      <c r="A135" s="24" t="n">
        <v>15</v>
      </c>
      <c r="B135" s="26" t="n">
        <v>56010530</v>
      </c>
      <c r="C135" s="27" t="inlineStr">
        <is>
          <t>XAUUSD</t>
        </is>
      </c>
      <c r="D135" s="27" t="inlineStr">
        <is>
          <t>buy</t>
        </is>
      </c>
      <c r="E135" s="27" t="inlineStr">
        <is>
          <t>M5</t>
        </is>
      </c>
      <c r="F135" s="27" t="inlineStr">
        <is>
          <t>close</t>
        </is>
      </c>
      <c r="G135" s="27" t="inlineStr">
        <is>
          <t>Loss</t>
        </is>
      </c>
      <c r="H135" s="65" t="inlineStr">
        <is>
          <t>40_56010530_XAUUSD_buy_M5_close_2026-07-29-174029.png</t>
        </is>
      </c>
      <c r="I135" s="23" t="inlineStr">
        <is>
          <t>3214929/XAUUSD/2026-07-29_56010530_XAUUSD_buy_loss</t>
        </is>
      </c>
    </row>
    <row r="136">
      <c r="A136" s="24" t="n">
        <v>15</v>
      </c>
      <c r="B136" s="26" t="n">
        <v>56010530</v>
      </c>
      <c r="C136" s="27" t="inlineStr">
        <is>
          <t>XAUUSD</t>
        </is>
      </c>
      <c r="D136" s="27" t="inlineStr">
        <is>
          <t>buy</t>
        </is>
      </c>
      <c r="E136" s="27" t="inlineStr">
        <is>
          <t>M5</t>
        </is>
      </c>
      <c r="F136" s="27" t="inlineStr">
        <is>
          <t>open</t>
        </is>
      </c>
      <c r="G136" s="27" t="inlineStr">
        <is>
          <t>Loss</t>
        </is>
      </c>
      <c r="H136" s="65" t="inlineStr">
        <is>
          <t>40_56010530_XAUUSD_buy_M5_open_2026-07-29-172842.png</t>
        </is>
      </c>
      <c r="I136" s="23" t="inlineStr">
        <is>
          <t>3214929/XAUUSD/2026-07-29_56010530_XAUUSD_buy_loss</t>
        </is>
      </c>
    </row>
    <row r="137">
      <c r="A137" s="24" t="n">
        <v>15</v>
      </c>
      <c r="B137" s="26" t="n">
        <v>56010530</v>
      </c>
      <c r="C137" s="27" t="inlineStr">
        <is>
          <t>XAUUSD</t>
        </is>
      </c>
      <c r="D137" s="27" t="inlineStr">
        <is>
          <t>buy</t>
        </is>
      </c>
      <c r="E137" s="27" t="inlineStr">
        <is>
          <t>M1</t>
        </is>
      </c>
      <c r="F137" s="27" t="inlineStr">
        <is>
          <t>close</t>
        </is>
      </c>
      <c r="G137" s="27" t="inlineStr">
        <is>
          <t>Loss</t>
        </is>
      </c>
      <c r="H137" s="65" t="inlineStr">
        <is>
          <t>50_56010530_XAUUSD_buy_M1_close_2026-07-29-174029.png</t>
        </is>
      </c>
      <c r="I137" s="23" t="inlineStr">
        <is>
          <t>3214929/XAUUSD/2026-07-29_56010530_XAUUSD_buy_loss</t>
        </is>
      </c>
    </row>
    <row r="138">
      <c r="A138" s="24" t="n">
        <v>15</v>
      </c>
      <c r="B138" s="26" t="n">
        <v>56010530</v>
      </c>
      <c r="C138" s="27" t="inlineStr">
        <is>
          <t>XAUUSD</t>
        </is>
      </c>
      <c r="D138" s="27" t="inlineStr">
        <is>
          <t>buy</t>
        </is>
      </c>
      <c r="E138" s="27" t="inlineStr">
        <is>
          <t>M1</t>
        </is>
      </c>
      <c r="F138" s="27" t="inlineStr">
        <is>
          <t>journey</t>
        </is>
      </c>
      <c r="G138" s="27" t="inlineStr">
        <is>
          <t>Loss</t>
        </is>
      </c>
      <c r="H138" s="65" t="inlineStr">
        <is>
          <t>50_56010530_XAUUSD_buy_M1_journey_2026-07-29-172842.png</t>
        </is>
      </c>
      <c r="I138" s="23" t="inlineStr">
        <is>
          <t>3214929/XAUUSD/2026-07-29_56010530_XAUUSD_buy_loss</t>
        </is>
      </c>
    </row>
    <row r="139">
      <c r="A139" s="24" t="n">
        <v>15</v>
      </c>
      <c r="B139" s="26" t="n">
        <v>56010530</v>
      </c>
      <c r="C139" s="27" t="inlineStr">
        <is>
          <t>XAUUSD</t>
        </is>
      </c>
      <c r="D139" s="27" t="inlineStr">
        <is>
          <t>buy</t>
        </is>
      </c>
      <c r="E139" s="27" t="inlineStr">
        <is>
          <t>M1</t>
        </is>
      </c>
      <c r="F139" s="27" t="inlineStr">
        <is>
          <t>open</t>
        </is>
      </c>
      <c r="G139" s="27" t="inlineStr">
        <is>
          <t>Loss</t>
        </is>
      </c>
      <c r="H139" s="65" t="inlineStr">
        <is>
          <t>50_56010530_XAUUSD_buy_M1_open_2026-07-29-172842.png</t>
        </is>
      </c>
      <c r="I139" s="23" t="inlineStr">
        <is>
          <t>3214929/XAUUSD/2026-07-29_56010530_XAUUSD_buy_loss</t>
        </is>
      </c>
    </row>
    <row r="140">
      <c r="A140" s="24" t="n">
        <v>16</v>
      </c>
      <c r="B140" s="26" t="n">
        <v>56010917</v>
      </c>
      <c r="C140" s="27" t="inlineStr">
        <is>
          <t>XAUUSD</t>
        </is>
      </c>
      <c r="D140" s="27" t="inlineStr">
        <is>
          <t>buy</t>
        </is>
      </c>
      <c r="E140" s="27" t="inlineStr">
        <is>
          <t>H4</t>
        </is>
      </c>
      <c r="F140" s="27" t="inlineStr">
        <is>
          <t>close</t>
        </is>
      </c>
      <c r="G140" s="27" t="inlineStr">
        <is>
          <t>Win</t>
        </is>
      </c>
      <c r="H140" s="65" t="inlineStr">
        <is>
          <t>10_56010917_XAUUSD_buy_H4_close_2026-07-29-174348.png</t>
        </is>
      </c>
      <c r="I140" s="23" t="inlineStr">
        <is>
          <t>3214929/XAUUSD/2026-07-29_56010917_XAUUSD_buy_win</t>
        </is>
      </c>
    </row>
    <row r="141">
      <c r="A141" s="24" t="n">
        <v>16</v>
      </c>
      <c r="B141" s="26" t="n">
        <v>56010917</v>
      </c>
      <c r="C141" s="27" t="inlineStr">
        <is>
          <t>XAUUSD</t>
        </is>
      </c>
      <c r="D141" s="27" t="inlineStr">
        <is>
          <t>buy</t>
        </is>
      </c>
      <c r="E141" s="27" t="inlineStr">
        <is>
          <t>H1</t>
        </is>
      </c>
      <c r="F141" s="27" t="inlineStr">
        <is>
          <t>close</t>
        </is>
      </c>
      <c r="G141" s="27" t="inlineStr">
        <is>
          <t>Win</t>
        </is>
      </c>
      <c r="H141" s="65" t="inlineStr">
        <is>
          <t>20_56010917_XAUUSD_buy_H1_close_2026-07-29-174348.png</t>
        </is>
      </c>
      <c r="I141" s="23" t="inlineStr">
        <is>
          <t>3214929/XAUUSD/2026-07-29_56010917_XAUUSD_buy_win</t>
        </is>
      </c>
    </row>
    <row r="142">
      <c r="A142" s="24" t="n">
        <v>16</v>
      </c>
      <c r="B142" s="26" t="n">
        <v>56010917</v>
      </c>
      <c r="C142" s="27" t="inlineStr">
        <is>
          <t>XAUUSD</t>
        </is>
      </c>
      <c r="D142" s="27" t="inlineStr">
        <is>
          <t>buy</t>
        </is>
      </c>
      <c r="E142" s="27" t="inlineStr">
        <is>
          <t>M15</t>
        </is>
      </c>
      <c r="F142" s="27" t="inlineStr">
        <is>
          <t>close</t>
        </is>
      </c>
      <c r="G142" s="27" t="inlineStr">
        <is>
          <t>Win</t>
        </is>
      </c>
      <c r="H142" s="65" t="inlineStr">
        <is>
          <t>30_56010917_XAUUSD_buy_M15_close_2026-07-29-174348.png</t>
        </is>
      </c>
      <c r="I142" s="23" t="inlineStr">
        <is>
          <t>3214929/XAUUSD/2026-07-29_56010917_XAUUSD_buy_win</t>
        </is>
      </c>
    </row>
    <row r="143">
      <c r="A143" s="24" t="n">
        <v>16</v>
      </c>
      <c r="B143" s="26" t="n">
        <v>56010917</v>
      </c>
      <c r="C143" s="27" t="inlineStr">
        <is>
          <t>XAUUSD</t>
        </is>
      </c>
      <c r="D143" s="27" t="inlineStr">
        <is>
          <t>buy</t>
        </is>
      </c>
      <c r="E143" s="27" t="inlineStr">
        <is>
          <t>M15</t>
        </is>
      </c>
      <c r="F143" s="27" t="inlineStr">
        <is>
          <t>open</t>
        </is>
      </c>
      <c r="G143" s="27" t="inlineStr">
        <is>
          <t>Win</t>
        </is>
      </c>
      <c r="H143" s="65" t="inlineStr">
        <is>
          <t>30_56010917_XAUUSD_buy_M15_open_2026-07-29-172926.png</t>
        </is>
      </c>
      <c r="I143" s="23" t="inlineStr">
        <is>
          <t>3214929/XAUUSD/2026-07-29_56010917_XAUUSD_buy_win</t>
        </is>
      </c>
    </row>
    <row r="144">
      <c r="A144" s="24" t="n">
        <v>16</v>
      </c>
      <c r="B144" s="26" t="n">
        <v>56010917</v>
      </c>
      <c r="C144" s="27" t="inlineStr">
        <is>
          <t>XAUUSD</t>
        </is>
      </c>
      <c r="D144" s="27" t="inlineStr">
        <is>
          <t>buy</t>
        </is>
      </c>
      <c r="E144" s="27" t="inlineStr">
        <is>
          <t>M5</t>
        </is>
      </c>
      <c r="F144" s="27" t="inlineStr">
        <is>
          <t>close</t>
        </is>
      </c>
      <c r="G144" s="27" t="inlineStr">
        <is>
          <t>Win</t>
        </is>
      </c>
      <c r="H144" s="65" t="inlineStr">
        <is>
          <t>40_56010917_XAUUSD_buy_M5_close_2026-07-29-174348.png</t>
        </is>
      </c>
      <c r="I144" s="23" t="inlineStr">
        <is>
          <t>3214929/XAUUSD/2026-07-29_56010917_XAUUSD_buy_win</t>
        </is>
      </c>
    </row>
    <row r="145">
      <c r="A145" s="24" t="n">
        <v>16</v>
      </c>
      <c r="B145" s="26" t="n">
        <v>56010917</v>
      </c>
      <c r="C145" s="27" t="inlineStr">
        <is>
          <t>XAUUSD</t>
        </is>
      </c>
      <c r="D145" s="27" t="inlineStr">
        <is>
          <t>buy</t>
        </is>
      </c>
      <c r="E145" s="27" t="inlineStr">
        <is>
          <t>M5</t>
        </is>
      </c>
      <c r="F145" s="27" t="inlineStr">
        <is>
          <t>open</t>
        </is>
      </c>
      <c r="G145" s="27" t="inlineStr">
        <is>
          <t>Win</t>
        </is>
      </c>
      <c r="H145" s="65" t="inlineStr">
        <is>
          <t>40_56010917_XAUUSD_buy_M5_open_2026-07-29-172926.png</t>
        </is>
      </c>
      <c r="I145" s="23" t="inlineStr">
        <is>
          <t>3214929/XAUUSD/2026-07-29_56010917_XAUUSD_buy_win</t>
        </is>
      </c>
    </row>
    <row r="146">
      <c r="A146" s="24" t="n">
        <v>16</v>
      </c>
      <c r="B146" s="26" t="n">
        <v>56010917</v>
      </c>
      <c r="C146" s="27" t="inlineStr">
        <is>
          <t>XAUUSD</t>
        </is>
      </c>
      <c r="D146" s="27" t="inlineStr">
        <is>
          <t>buy</t>
        </is>
      </c>
      <c r="E146" s="27" t="inlineStr">
        <is>
          <t>M1</t>
        </is>
      </c>
      <c r="F146" s="27" t="inlineStr">
        <is>
          <t>close</t>
        </is>
      </c>
      <c r="G146" s="27" t="inlineStr">
        <is>
          <t>Win</t>
        </is>
      </c>
      <c r="H146" s="65" t="inlineStr">
        <is>
          <t>50_56010917_XAUUSD_buy_M1_close_2026-07-29-174348.png</t>
        </is>
      </c>
      <c r="I146" s="23" t="inlineStr">
        <is>
          <t>3214929/XAUUSD/2026-07-29_56010917_XAUUSD_buy_win</t>
        </is>
      </c>
    </row>
    <row r="147">
      <c r="A147" s="24" t="n">
        <v>16</v>
      </c>
      <c r="B147" s="26" t="n">
        <v>56010917</v>
      </c>
      <c r="C147" s="27" t="inlineStr">
        <is>
          <t>XAUUSD</t>
        </is>
      </c>
      <c r="D147" s="27" t="inlineStr">
        <is>
          <t>buy</t>
        </is>
      </c>
      <c r="E147" s="27" t="inlineStr">
        <is>
          <t>M1</t>
        </is>
      </c>
      <c r="F147" s="27" t="inlineStr">
        <is>
          <t>journey</t>
        </is>
      </c>
      <c r="G147" s="27" t="inlineStr">
        <is>
          <t>Win</t>
        </is>
      </c>
      <c r="H147" s="65" t="inlineStr">
        <is>
          <t>50_56010917_XAUUSD_buy_M1_journey_2026-07-29-172926.png</t>
        </is>
      </c>
      <c r="I147" s="23" t="inlineStr">
        <is>
          <t>3214929/XAUUSD/2026-07-29_56010917_XAUUSD_buy_win</t>
        </is>
      </c>
    </row>
    <row r="148">
      <c r="A148" s="24" t="n">
        <v>16</v>
      </c>
      <c r="B148" s="26" t="n">
        <v>56010917</v>
      </c>
      <c r="C148" s="27" t="inlineStr">
        <is>
          <t>XAUUSD</t>
        </is>
      </c>
      <c r="D148" s="27" t="inlineStr">
        <is>
          <t>buy</t>
        </is>
      </c>
      <c r="E148" s="27" t="inlineStr">
        <is>
          <t>M1</t>
        </is>
      </c>
      <c r="F148" s="27" t="inlineStr">
        <is>
          <t>open</t>
        </is>
      </c>
      <c r="G148" s="27" t="inlineStr">
        <is>
          <t>Win</t>
        </is>
      </c>
      <c r="H148" s="65" t="inlineStr">
        <is>
          <t>50_56010917_XAUUSD_buy_M1_open_2026-07-29-172926.png</t>
        </is>
      </c>
      <c r="I148" s="23" t="inlineStr">
        <is>
          <t>3214929/XAUUSD/2026-07-29_56010917_XAUUSD_buy_win</t>
        </is>
      </c>
    </row>
    <row r="149">
      <c r="A149" s="24" t="n">
        <v>17</v>
      </c>
      <c r="B149" s="26" t="n">
        <v>55998022</v>
      </c>
      <c r="C149" s="27" t="inlineStr">
        <is>
          <t>XAUUSD</t>
        </is>
      </c>
      <c r="D149" s="27" t="inlineStr">
        <is>
          <t>buy</t>
        </is>
      </c>
      <c r="E149" s="27" t="inlineStr">
        <is>
          <t>H4</t>
        </is>
      </c>
      <c r="F149" s="27" t="inlineStr">
        <is>
          <t>close</t>
        </is>
      </c>
      <c r="G149" s="27" t="inlineStr">
        <is>
          <t>Win</t>
        </is>
      </c>
      <c r="H149" s="65" t="inlineStr">
        <is>
          <t>10_55998022_XAUUSD_buy_H4_close_2026-07-29-180005.png</t>
        </is>
      </c>
      <c r="I149" s="23" t="inlineStr">
        <is>
          <t>3214929/XAUUSD/2026-07-29_55998022_XAUUSD_buy_win</t>
        </is>
      </c>
    </row>
    <row r="150">
      <c r="A150" s="24" t="n">
        <v>17</v>
      </c>
      <c r="B150" s="26" t="n">
        <v>55998022</v>
      </c>
      <c r="C150" s="27" t="inlineStr">
        <is>
          <t>XAUUSD</t>
        </is>
      </c>
      <c r="D150" s="27" t="inlineStr">
        <is>
          <t>buy</t>
        </is>
      </c>
      <c r="E150" s="27" t="inlineStr">
        <is>
          <t>H1</t>
        </is>
      </c>
      <c r="F150" s="27" t="inlineStr">
        <is>
          <t>close</t>
        </is>
      </c>
      <c r="G150" s="27" t="inlineStr">
        <is>
          <t>Win</t>
        </is>
      </c>
      <c r="H150" s="65" t="inlineStr">
        <is>
          <t>20_55998022_XAUUSD_buy_H1_close_2026-07-29-180005.png</t>
        </is>
      </c>
      <c r="I150" s="23" t="inlineStr">
        <is>
          <t>3214929/XAUUSD/2026-07-29_55998022_XAUUSD_buy_win</t>
        </is>
      </c>
    </row>
    <row r="151">
      <c r="A151" s="24" t="n">
        <v>17</v>
      </c>
      <c r="B151" s="26" t="n">
        <v>55998022</v>
      </c>
      <c r="C151" s="27" t="inlineStr">
        <is>
          <t>XAUUSD</t>
        </is>
      </c>
      <c r="D151" s="27" t="inlineStr">
        <is>
          <t>buy</t>
        </is>
      </c>
      <c r="E151" s="27" t="inlineStr">
        <is>
          <t>M15</t>
        </is>
      </c>
      <c r="F151" s="27" t="inlineStr">
        <is>
          <t>close</t>
        </is>
      </c>
      <c r="G151" s="27" t="inlineStr">
        <is>
          <t>Win</t>
        </is>
      </c>
      <c r="H151" s="65" t="inlineStr">
        <is>
          <t>30_55998022_XAUUSD_buy_M15_close_2026-07-29-180005.png</t>
        </is>
      </c>
      <c r="I151" s="23" t="inlineStr">
        <is>
          <t>3214929/XAUUSD/2026-07-29_55998022_XAUUSD_buy_win</t>
        </is>
      </c>
    </row>
    <row r="152">
      <c r="A152" s="24" t="n">
        <v>17</v>
      </c>
      <c r="B152" s="26" t="n">
        <v>55998022</v>
      </c>
      <c r="C152" s="27" t="inlineStr">
        <is>
          <t>XAUUSD</t>
        </is>
      </c>
      <c r="D152" s="27" t="inlineStr">
        <is>
          <t>buy</t>
        </is>
      </c>
      <c r="E152" s="27" t="inlineStr">
        <is>
          <t>M15</t>
        </is>
      </c>
      <c r="F152" s="27" t="inlineStr">
        <is>
          <t>open</t>
        </is>
      </c>
      <c r="G152" s="27" t="inlineStr">
        <is>
          <t>Win</t>
        </is>
      </c>
      <c r="H152" s="65" t="inlineStr">
        <is>
          <t>30_55998022_XAUUSD_buy_M15_open_2026-07-29-165812.png</t>
        </is>
      </c>
      <c r="I152" s="23" t="inlineStr">
        <is>
          <t>3214929/XAUUSD/2026-07-29_55998022_XAUUSD_buy_win</t>
        </is>
      </c>
    </row>
    <row r="153">
      <c r="A153" s="24" t="n">
        <v>17</v>
      </c>
      <c r="B153" s="26" t="n">
        <v>55998022</v>
      </c>
      <c r="C153" s="27" t="inlineStr">
        <is>
          <t>XAUUSD</t>
        </is>
      </c>
      <c r="D153" s="27" t="inlineStr">
        <is>
          <t>buy</t>
        </is>
      </c>
      <c r="E153" s="27" t="inlineStr">
        <is>
          <t>M5</t>
        </is>
      </c>
      <c r="F153" s="27" t="inlineStr">
        <is>
          <t>close</t>
        </is>
      </c>
      <c r="G153" s="27" t="inlineStr">
        <is>
          <t>Win</t>
        </is>
      </c>
      <c r="H153" s="65" t="inlineStr">
        <is>
          <t>40_55998022_XAUUSD_buy_M5_close_2026-07-29-180005.png</t>
        </is>
      </c>
      <c r="I153" s="23" t="inlineStr">
        <is>
          <t>3214929/XAUUSD/2026-07-29_55998022_XAUUSD_buy_win</t>
        </is>
      </c>
    </row>
    <row r="154">
      <c r="A154" s="24" t="n">
        <v>17</v>
      </c>
      <c r="B154" s="26" t="n">
        <v>55998022</v>
      </c>
      <c r="C154" s="27" t="inlineStr">
        <is>
          <t>XAUUSD</t>
        </is>
      </c>
      <c r="D154" s="27" t="inlineStr">
        <is>
          <t>buy</t>
        </is>
      </c>
      <c r="E154" s="27" t="inlineStr">
        <is>
          <t>M5</t>
        </is>
      </c>
      <c r="F154" s="27" t="inlineStr">
        <is>
          <t>open</t>
        </is>
      </c>
      <c r="G154" s="27" t="inlineStr">
        <is>
          <t>Win</t>
        </is>
      </c>
      <c r="H154" s="65" t="inlineStr">
        <is>
          <t>40_55998022_XAUUSD_buy_M5_open_2026-07-29-165812.png</t>
        </is>
      </c>
      <c r="I154" s="23" t="inlineStr">
        <is>
          <t>3214929/XAUUSD/2026-07-29_55998022_XAUUSD_buy_win</t>
        </is>
      </c>
    </row>
    <row r="155">
      <c r="A155" s="24" t="n">
        <v>17</v>
      </c>
      <c r="B155" s="26" t="n">
        <v>55998022</v>
      </c>
      <c r="C155" s="27" t="inlineStr">
        <is>
          <t>XAUUSD</t>
        </is>
      </c>
      <c r="D155" s="27" t="inlineStr">
        <is>
          <t>buy</t>
        </is>
      </c>
      <c r="E155" s="27" t="inlineStr">
        <is>
          <t>M1</t>
        </is>
      </c>
      <c r="F155" s="27" t="inlineStr">
        <is>
          <t>close</t>
        </is>
      </c>
      <c r="G155" s="27" t="inlineStr">
        <is>
          <t>Win</t>
        </is>
      </c>
      <c r="H155" s="65" t="inlineStr">
        <is>
          <t>50_55998022_XAUUSD_buy_M1_close_2026-07-29-180005.png</t>
        </is>
      </c>
      <c r="I155" s="23" t="inlineStr">
        <is>
          <t>3214929/XAUUSD/2026-07-29_55998022_XAUUSD_buy_win</t>
        </is>
      </c>
    </row>
    <row r="156">
      <c r="A156" s="24" t="n">
        <v>17</v>
      </c>
      <c r="B156" s="26" t="n">
        <v>55998022</v>
      </c>
      <c r="C156" s="27" t="inlineStr">
        <is>
          <t>XAUUSD</t>
        </is>
      </c>
      <c r="D156" s="27" t="inlineStr">
        <is>
          <t>buy</t>
        </is>
      </c>
      <c r="E156" s="27" t="inlineStr">
        <is>
          <t>M1</t>
        </is>
      </c>
      <c r="F156" s="27" t="inlineStr">
        <is>
          <t>journey</t>
        </is>
      </c>
      <c r="G156" s="27" t="inlineStr">
        <is>
          <t>Win</t>
        </is>
      </c>
      <c r="H156" s="65" t="inlineStr">
        <is>
          <t>50_55998022_XAUUSD_buy_M1_journey_2026-07-29-165812.png</t>
        </is>
      </c>
      <c r="I156" s="23" t="inlineStr">
        <is>
          <t>3214929/XAUUSD/2026-07-29_55998022_XAUUSD_buy_win</t>
        </is>
      </c>
    </row>
    <row r="157">
      <c r="A157" s="24" t="n">
        <v>17</v>
      </c>
      <c r="B157" s="26" t="n">
        <v>55998022</v>
      </c>
      <c r="C157" s="27" t="inlineStr">
        <is>
          <t>XAUUSD</t>
        </is>
      </c>
      <c r="D157" s="27" t="inlineStr">
        <is>
          <t>buy</t>
        </is>
      </c>
      <c r="E157" s="27" t="inlineStr">
        <is>
          <t>M1</t>
        </is>
      </c>
      <c r="F157" s="27" t="inlineStr">
        <is>
          <t>open</t>
        </is>
      </c>
      <c r="G157" s="27" t="inlineStr">
        <is>
          <t>Win</t>
        </is>
      </c>
      <c r="H157" s="65" t="inlineStr">
        <is>
          <t>50_55998022_XAUUSD_buy_M1_open_2026-07-29-165812.png</t>
        </is>
      </c>
      <c r="I157" s="23" t="inlineStr">
        <is>
          <t>3214929/XAUUSD/2026-07-29_55998022_XAUUSD_buy_win</t>
        </is>
      </c>
    </row>
    <row r="158">
      <c r="A158" s="24" t="n">
        <v>18</v>
      </c>
      <c r="B158" s="26" t="n">
        <v>56034556</v>
      </c>
      <c r="C158" s="27" t="inlineStr">
        <is>
          <t>DAXEUR</t>
        </is>
      </c>
      <c r="D158" s="27" t="inlineStr">
        <is>
          <t>buy</t>
        </is>
      </c>
      <c r="E158" s="27" t="inlineStr">
        <is>
          <t>H4</t>
        </is>
      </c>
      <c r="F158" s="27" t="inlineStr">
        <is>
          <t>close</t>
        </is>
      </c>
      <c r="G158" s="27" t="inlineStr">
        <is>
          <t>Loss</t>
        </is>
      </c>
      <c r="H158" s="65" t="inlineStr">
        <is>
          <t>10_56034556_DAXEUR_buy_H4_close_2026-07-29-182037.png</t>
        </is>
      </c>
      <c r="I158" s="23" t="inlineStr">
        <is>
          <t>3214929/DAXEUR/2026-07-29_56034556_DAXEUR_buy_loss</t>
        </is>
      </c>
    </row>
    <row r="159">
      <c r="A159" s="24" t="n">
        <v>18</v>
      </c>
      <c r="B159" s="26" t="n">
        <v>56034556</v>
      </c>
      <c r="C159" s="27" t="inlineStr">
        <is>
          <t>DAXEUR</t>
        </is>
      </c>
      <c r="D159" s="27" t="inlineStr">
        <is>
          <t>buy</t>
        </is>
      </c>
      <c r="E159" s="27" t="inlineStr">
        <is>
          <t>H1</t>
        </is>
      </c>
      <c r="F159" s="27" t="inlineStr">
        <is>
          <t>close</t>
        </is>
      </c>
      <c r="G159" s="27" t="inlineStr">
        <is>
          <t>Loss</t>
        </is>
      </c>
      <c r="H159" s="65" t="inlineStr">
        <is>
          <t>20_56034556_DAXEUR_buy_H1_close_2026-07-29-182037.png</t>
        </is>
      </c>
      <c r="I159" s="23" t="inlineStr">
        <is>
          <t>3214929/DAXEUR/2026-07-29_56034556_DAXEUR_buy_loss</t>
        </is>
      </c>
    </row>
    <row r="160">
      <c r="A160" s="24" t="n">
        <v>18</v>
      </c>
      <c r="B160" s="26" t="n">
        <v>56034556</v>
      </c>
      <c r="C160" s="27" t="inlineStr">
        <is>
          <t>DAXEUR</t>
        </is>
      </c>
      <c r="D160" s="27" t="inlineStr">
        <is>
          <t>buy</t>
        </is>
      </c>
      <c r="E160" s="27" t="inlineStr">
        <is>
          <t>M15</t>
        </is>
      </c>
      <c r="F160" s="27" t="inlineStr">
        <is>
          <t>close</t>
        </is>
      </c>
      <c r="G160" s="27" t="inlineStr">
        <is>
          <t>Loss</t>
        </is>
      </c>
      <c r="H160" s="65" t="inlineStr">
        <is>
          <t>30_56034556_DAXEUR_buy_M15_close_2026-07-29-182037.png</t>
        </is>
      </c>
      <c r="I160" s="23" t="inlineStr">
        <is>
          <t>3214929/DAXEUR/2026-07-29_56034556_DAXEUR_buy_loss</t>
        </is>
      </c>
    </row>
    <row r="161">
      <c r="A161" s="24" t="n">
        <v>18</v>
      </c>
      <c r="B161" s="26" t="n">
        <v>56034556</v>
      </c>
      <c r="C161" s="27" t="inlineStr">
        <is>
          <t>DAXEUR</t>
        </is>
      </c>
      <c r="D161" s="27" t="inlineStr">
        <is>
          <t>buy</t>
        </is>
      </c>
      <c r="E161" s="27" t="inlineStr">
        <is>
          <t>M15</t>
        </is>
      </c>
      <c r="F161" s="27" t="inlineStr">
        <is>
          <t>open</t>
        </is>
      </c>
      <c r="G161" s="27" t="inlineStr">
        <is>
          <t>Loss</t>
        </is>
      </c>
      <c r="H161" s="65" t="inlineStr">
        <is>
          <t>30_56034556_DAXEUR_buy_M15_open_2026-07-29-182008.png</t>
        </is>
      </c>
      <c r="I161" s="23" t="inlineStr">
        <is>
          <t>3214929/DAXEUR/2026-07-29_56034556_DAXEUR_buy_loss</t>
        </is>
      </c>
    </row>
    <row r="162">
      <c r="A162" s="24" t="n">
        <v>18</v>
      </c>
      <c r="B162" s="26" t="n">
        <v>56034556</v>
      </c>
      <c r="C162" s="27" t="inlineStr">
        <is>
          <t>DAXEUR</t>
        </is>
      </c>
      <c r="D162" s="27" t="inlineStr">
        <is>
          <t>buy</t>
        </is>
      </c>
      <c r="E162" s="27" t="inlineStr">
        <is>
          <t>M5</t>
        </is>
      </c>
      <c r="F162" s="27" t="inlineStr">
        <is>
          <t>close</t>
        </is>
      </c>
      <c r="G162" s="27" t="inlineStr">
        <is>
          <t>Loss</t>
        </is>
      </c>
      <c r="H162" s="65" t="inlineStr">
        <is>
          <t>40_56034556_DAXEUR_buy_M5_close_2026-07-29-182037.png</t>
        </is>
      </c>
      <c r="I162" s="23" t="inlineStr">
        <is>
          <t>3214929/DAXEUR/2026-07-29_56034556_DAXEUR_buy_loss</t>
        </is>
      </c>
    </row>
    <row r="163">
      <c r="A163" s="24" t="n">
        <v>18</v>
      </c>
      <c r="B163" s="26" t="n">
        <v>56034556</v>
      </c>
      <c r="C163" s="27" t="inlineStr">
        <is>
          <t>DAXEUR</t>
        </is>
      </c>
      <c r="D163" s="27" t="inlineStr">
        <is>
          <t>buy</t>
        </is>
      </c>
      <c r="E163" s="27" t="inlineStr">
        <is>
          <t>M5</t>
        </is>
      </c>
      <c r="F163" s="27" t="inlineStr">
        <is>
          <t>open</t>
        </is>
      </c>
      <c r="G163" s="27" t="inlineStr">
        <is>
          <t>Loss</t>
        </is>
      </c>
      <c r="H163" s="65" t="inlineStr">
        <is>
          <t>40_56034556_DAXEUR_buy_M5_open_2026-07-29-182008.png</t>
        </is>
      </c>
      <c r="I163" s="23" t="inlineStr">
        <is>
          <t>3214929/DAXEUR/2026-07-29_56034556_DAXEUR_buy_loss</t>
        </is>
      </c>
    </row>
    <row r="164">
      <c r="A164" s="24" t="n">
        <v>18</v>
      </c>
      <c r="B164" s="26" t="n">
        <v>56034556</v>
      </c>
      <c r="C164" s="27" t="inlineStr">
        <is>
          <t>DAXEUR</t>
        </is>
      </c>
      <c r="D164" s="27" t="inlineStr">
        <is>
          <t>buy</t>
        </is>
      </c>
      <c r="E164" s="27" t="inlineStr">
        <is>
          <t>M1</t>
        </is>
      </c>
      <c r="F164" s="27" t="inlineStr">
        <is>
          <t>close</t>
        </is>
      </c>
      <c r="G164" s="27" t="inlineStr">
        <is>
          <t>Loss</t>
        </is>
      </c>
      <c r="H164" s="65" t="inlineStr">
        <is>
          <t>50_56034556_DAXEUR_buy_M1_close_2026-07-29-182037.png</t>
        </is>
      </c>
      <c r="I164" s="23" t="inlineStr">
        <is>
          <t>3214929/DAXEUR/2026-07-29_56034556_DAXEUR_buy_loss</t>
        </is>
      </c>
    </row>
    <row r="165">
      <c r="A165" s="24" t="n">
        <v>18</v>
      </c>
      <c r="B165" s="26" t="n">
        <v>56034556</v>
      </c>
      <c r="C165" s="27" t="inlineStr">
        <is>
          <t>DAXEUR</t>
        </is>
      </c>
      <c r="D165" s="27" t="inlineStr">
        <is>
          <t>buy</t>
        </is>
      </c>
      <c r="E165" s="27" t="inlineStr">
        <is>
          <t>M1</t>
        </is>
      </c>
      <c r="F165" s="27" t="inlineStr">
        <is>
          <t>journey</t>
        </is>
      </c>
      <c r="G165" s="27" t="inlineStr">
        <is>
          <t>Loss</t>
        </is>
      </c>
      <c r="H165" s="65" t="inlineStr">
        <is>
          <t>50_56034556_DAXEUR_buy_M1_journey_2026-07-29-182008.png</t>
        </is>
      </c>
      <c r="I165" s="23" t="inlineStr">
        <is>
          <t>3214929/DAXEUR/2026-07-29_56034556_DAXEUR_buy_loss</t>
        </is>
      </c>
    </row>
    <row r="166">
      <c r="A166" s="24" t="n">
        <v>18</v>
      </c>
      <c r="B166" s="26" t="n">
        <v>56034556</v>
      </c>
      <c r="C166" s="27" t="inlineStr">
        <is>
          <t>DAXEUR</t>
        </is>
      </c>
      <c r="D166" s="27" t="inlineStr">
        <is>
          <t>buy</t>
        </is>
      </c>
      <c r="E166" s="27" t="inlineStr">
        <is>
          <t>M1</t>
        </is>
      </c>
      <c r="F166" s="27" t="inlineStr">
        <is>
          <t>open</t>
        </is>
      </c>
      <c r="G166" s="27" t="inlineStr">
        <is>
          <t>Loss</t>
        </is>
      </c>
      <c r="H166" s="65" t="inlineStr">
        <is>
          <t>50_56034556_DAXEUR_buy_M1_open_2026-07-29-182008.png</t>
        </is>
      </c>
      <c r="I166" s="23" t="inlineStr">
        <is>
          <t>3214929/DAXEUR/2026-07-29_56034556_DAXEUR_buy_loss</t>
        </is>
      </c>
    </row>
    <row r="167">
      <c r="A167" s="24" t="n">
        <v>19</v>
      </c>
      <c r="B167" s="26" t="n">
        <v>56035232</v>
      </c>
      <c r="C167" s="27" t="inlineStr">
        <is>
          <t>DAXEUR</t>
        </is>
      </c>
      <c r="D167" s="27" t="inlineStr">
        <is>
          <t>buy</t>
        </is>
      </c>
      <c r="E167" s="27" t="inlineStr">
        <is>
          <t>H4</t>
        </is>
      </c>
      <c r="F167" s="27" t="inlineStr">
        <is>
          <t>close</t>
        </is>
      </c>
      <c r="G167" s="27" t="inlineStr">
        <is>
          <t>Loss</t>
        </is>
      </c>
      <c r="H167" s="65" t="inlineStr">
        <is>
          <t>10_56035232_DAXEUR_buy_H4_close_2026-07-29-183211.png</t>
        </is>
      </c>
      <c r="I167" s="23" t="inlineStr">
        <is>
          <t>3214929/DAXEUR/2026-07-29_56035232_DAXEUR_buy_loss</t>
        </is>
      </c>
    </row>
    <row r="168">
      <c r="A168" s="24" t="n">
        <v>19</v>
      </c>
      <c r="B168" s="26" t="n">
        <v>56035232</v>
      </c>
      <c r="C168" s="27" t="inlineStr">
        <is>
          <t>DAXEUR</t>
        </is>
      </c>
      <c r="D168" s="27" t="inlineStr">
        <is>
          <t>buy</t>
        </is>
      </c>
      <c r="E168" s="27" t="inlineStr">
        <is>
          <t>H1</t>
        </is>
      </c>
      <c r="F168" s="27" t="inlineStr">
        <is>
          <t>close</t>
        </is>
      </c>
      <c r="G168" s="27" t="inlineStr">
        <is>
          <t>Loss</t>
        </is>
      </c>
      <c r="H168" s="65" t="inlineStr">
        <is>
          <t>20_56035232_DAXEUR_buy_H1_close_2026-07-29-183211.png</t>
        </is>
      </c>
      <c r="I168" s="23" t="inlineStr">
        <is>
          <t>3214929/DAXEUR/2026-07-29_56035232_DAXEUR_buy_loss</t>
        </is>
      </c>
    </row>
    <row r="169">
      <c r="A169" s="24" t="n">
        <v>19</v>
      </c>
      <c r="B169" s="26" t="n">
        <v>56035232</v>
      </c>
      <c r="C169" s="27" t="inlineStr">
        <is>
          <t>DAXEUR</t>
        </is>
      </c>
      <c r="D169" s="27" t="inlineStr">
        <is>
          <t>buy</t>
        </is>
      </c>
      <c r="E169" s="27" t="inlineStr">
        <is>
          <t>M15</t>
        </is>
      </c>
      <c r="F169" s="27" t="inlineStr">
        <is>
          <t>close</t>
        </is>
      </c>
      <c r="G169" s="27" t="inlineStr">
        <is>
          <t>Loss</t>
        </is>
      </c>
      <c r="H169" s="65" t="inlineStr">
        <is>
          <t>30_56035232_DAXEUR_buy_M15_close_2026-07-29-183211.png</t>
        </is>
      </c>
      <c r="I169" s="23" t="inlineStr">
        <is>
          <t>3214929/DAXEUR/2026-07-29_56035232_DAXEUR_buy_loss</t>
        </is>
      </c>
    </row>
    <row r="170">
      <c r="A170" s="24" t="n">
        <v>19</v>
      </c>
      <c r="B170" s="26" t="n">
        <v>56035232</v>
      </c>
      <c r="C170" s="27" t="inlineStr">
        <is>
          <t>DAXEUR</t>
        </is>
      </c>
      <c r="D170" s="27" t="inlineStr">
        <is>
          <t>buy</t>
        </is>
      </c>
      <c r="E170" s="27" t="inlineStr">
        <is>
          <t>M15</t>
        </is>
      </c>
      <c r="F170" s="27" t="inlineStr">
        <is>
          <t>open</t>
        </is>
      </c>
      <c r="G170" s="27" t="inlineStr">
        <is>
          <t>Loss</t>
        </is>
      </c>
      <c r="H170" s="65" t="inlineStr">
        <is>
          <t>30_56035232_DAXEUR_buy_M15_open_2026-07-29-182142.png</t>
        </is>
      </c>
      <c r="I170" s="23" t="inlineStr">
        <is>
          <t>3214929/DAXEUR/2026-07-29_56035232_DAXEUR_buy_loss</t>
        </is>
      </c>
    </row>
    <row r="171">
      <c r="A171" s="24" t="n">
        <v>19</v>
      </c>
      <c r="B171" s="26" t="n">
        <v>56035232</v>
      </c>
      <c r="C171" s="27" t="inlineStr">
        <is>
          <t>DAXEUR</t>
        </is>
      </c>
      <c r="D171" s="27" t="inlineStr">
        <is>
          <t>buy</t>
        </is>
      </c>
      <c r="E171" s="27" t="inlineStr">
        <is>
          <t>M5</t>
        </is>
      </c>
      <c r="F171" s="27" t="inlineStr">
        <is>
          <t>close</t>
        </is>
      </c>
      <c r="G171" s="27" t="inlineStr">
        <is>
          <t>Loss</t>
        </is>
      </c>
      <c r="H171" s="65" t="inlineStr">
        <is>
          <t>40_56035232_DAXEUR_buy_M5_close_2026-07-29-183211.png</t>
        </is>
      </c>
      <c r="I171" s="23" t="inlineStr">
        <is>
          <t>3214929/DAXEUR/2026-07-29_56035232_DAXEUR_buy_loss</t>
        </is>
      </c>
    </row>
    <row r="172">
      <c r="A172" s="24" t="n">
        <v>19</v>
      </c>
      <c r="B172" s="26" t="n">
        <v>56035232</v>
      </c>
      <c r="C172" s="27" t="inlineStr">
        <is>
          <t>DAXEUR</t>
        </is>
      </c>
      <c r="D172" s="27" t="inlineStr">
        <is>
          <t>buy</t>
        </is>
      </c>
      <c r="E172" s="27" t="inlineStr">
        <is>
          <t>M5</t>
        </is>
      </c>
      <c r="F172" s="27" t="inlineStr">
        <is>
          <t>open</t>
        </is>
      </c>
      <c r="G172" s="27" t="inlineStr">
        <is>
          <t>Loss</t>
        </is>
      </c>
      <c r="H172" s="65" t="inlineStr">
        <is>
          <t>40_56035232_DAXEUR_buy_M5_open_2026-07-29-182142.png</t>
        </is>
      </c>
      <c r="I172" s="23" t="inlineStr">
        <is>
          <t>3214929/DAXEUR/2026-07-29_56035232_DAXEUR_buy_loss</t>
        </is>
      </c>
    </row>
    <row r="173">
      <c r="A173" s="24" t="n">
        <v>19</v>
      </c>
      <c r="B173" s="26" t="n">
        <v>56035232</v>
      </c>
      <c r="C173" s="27" t="inlineStr">
        <is>
          <t>DAXEUR</t>
        </is>
      </c>
      <c r="D173" s="27" t="inlineStr">
        <is>
          <t>buy</t>
        </is>
      </c>
      <c r="E173" s="27" t="inlineStr">
        <is>
          <t>M1</t>
        </is>
      </c>
      <c r="F173" s="27" t="inlineStr">
        <is>
          <t>close</t>
        </is>
      </c>
      <c r="G173" s="27" t="inlineStr">
        <is>
          <t>Loss</t>
        </is>
      </c>
      <c r="H173" s="65" t="inlineStr">
        <is>
          <t>50_56035232_DAXEUR_buy_M1_close_2026-07-29-183211.png</t>
        </is>
      </c>
      <c r="I173" s="23" t="inlineStr">
        <is>
          <t>3214929/DAXEUR/2026-07-29_56035232_DAXEUR_buy_loss</t>
        </is>
      </c>
    </row>
    <row r="174">
      <c r="A174" s="24" t="n">
        <v>19</v>
      </c>
      <c r="B174" s="26" t="n">
        <v>56035232</v>
      </c>
      <c r="C174" s="27" t="inlineStr">
        <is>
          <t>DAXEUR</t>
        </is>
      </c>
      <c r="D174" s="27" t="inlineStr">
        <is>
          <t>buy</t>
        </is>
      </c>
      <c r="E174" s="27" t="inlineStr">
        <is>
          <t>M1</t>
        </is>
      </c>
      <c r="F174" s="27" t="inlineStr">
        <is>
          <t>journey</t>
        </is>
      </c>
      <c r="G174" s="27" t="inlineStr">
        <is>
          <t>Loss</t>
        </is>
      </c>
      <c r="H174" s="65" t="inlineStr">
        <is>
          <t>50_56035232_DAXEUR_buy_M1_journey_2026-07-29-182142.png</t>
        </is>
      </c>
      <c r="I174" s="23" t="inlineStr">
        <is>
          <t>3214929/DAXEUR/2026-07-29_56035232_DAXEUR_buy_loss</t>
        </is>
      </c>
    </row>
    <row r="175">
      <c r="A175" s="24" t="n">
        <v>19</v>
      </c>
      <c r="B175" s="26" t="n">
        <v>56035232</v>
      </c>
      <c r="C175" s="27" t="inlineStr">
        <is>
          <t>DAXEUR</t>
        </is>
      </c>
      <c r="D175" s="27" t="inlineStr">
        <is>
          <t>buy</t>
        </is>
      </c>
      <c r="E175" s="27" t="inlineStr">
        <is>
          <t>M1</t>
        </is>
      </c>
      <c r="F175" s="27" t="inlineStr">
        <is>
          <t>open</t>
        </is>
      </c>
      <c r="G175" s="27" t="inlineStr">
        <is>
          <t>Loss</t>
        </is>
      </c>
      <c r="H175" s="65" t="inlineStr">
        <is>
          <t>50_56035232_DAXEUR_buy_M1_open_2026-07-29-182142.png</t>
        </is>
      </c>
      <c r="I175" s="23" t="inlineStr">
        <is>
          <t>3214929/DAXEUR/2026-07-29_56035232_DAXEUR_buy_loss</t>
        </is>
      </c>
    </row>
    <row r="176">
      <c r="A176" s="24" t="n">
        <v>20</v>
      </c>
      <c r="B176" s="26" t="n">
        <v>56032851</v>
      </c>
      <c r="C176" s="27" t="inlineStr">
        <is>
          <t>DAXEUR</t>
        </is>
      </c>
      <c r="D176" s="27" t="inlineStr">
        <is>
          <t>buy</t>
        </is>
      </c>
      <c r="E176" s="27" t="inlineStr">
        <is>
          <t>H4</t>
        </is>
      </c>
      <c r="F176" s="27" t="inlineStr">
        <is>
          <t>close</t>
        </is>
      </c>
      <c r="G176" s="27" t="inlineStr">
        <is>
          <t>Loss</t>
        </is>
      </c>
      <c r="H176" s="65" t="inlineStr">
        <is>
          <t>10_56032851_DAXEUR_buy_H4_close_2026-07-29-183211.png</t>
        </is>
      </c>
      <c r="I176" s="23" t="inlineStr">
        <is>
          <t>3214929/DAXEUR/2026-07-29_56032851_DAXEUR_buy_loss</t>
        </is>
      </c>
    </row>
    <row r="177">
      <c r="A177" s="24" t="n">
        <v>20</v>
      </c>
      <c r="B177" s="26" t="n">
        <v>56032851</v>
      </c>
      <c r="C177" s="27" t="inlineStr">
        <is>
          <t>DAXEUR</t>
        </is>
      </c>
      <c r="D177" s="27" t="inlineStr">
        <is>
          <t>buy</t>
        </is>
      </c>
      <c r="E177" s="27" t="inlineStr">
        <is>
          <t>H1</t>
        </is>
      </c>
      <c r="F177" s="27" t="inlineStr">
        <is>
          <t>close</t>
        </is>
      </c>
      <c r="G177" s="27" t="inlineStr">
        <is>
          <t>Loss</t>
        </is>
      </c>
      <c r="H177" s="65" t="inlineStr">
        <is>
          <t>20_56032851_DAXEUR_buy_H1_close_2026-07-29-183211.png</t>
        </is>
      </c>
      <c r="I177" s="23" t="inlineStr">
        <is>
          <t>3214929/DAXEUR/2026-07-29_56032851_DAXEUR_buy_loss</t>
        </is>
      </c>
    </row>
    <row r="178">
      <c r="A178" s="24" t="n">
        <v>20</v>
      </c>
      <c r="B178" s="26" t="n">
        <v>56032851</v>
      </c>
      <c r="C178" s="27" t="inlineStr">
        <is>
          <t>DAXEUR</t>
        </is>
      </c>
      <c r="D178" s="27" t="inlineStr">
        <is>
          <t>buy</t>
        </is>
      </c>
      <c r="E178" s="27" t="inlineStr">
        <is>
          <t>M15</t>
        </is>
      </c>
      <c r="F178" s="27" t="inlineStr">
        <is>
          <t>close</t>
        </is>
      </c>
      <c r="G178" s="27" t="inlineStr">
        <is>
          <t>Loss</t>
        </is>
      </c>
      <c r="H178" s="65" t="inlineStr">
        <is>
          <t>30_56032851_DAXEUR_buy_M15_close_2026-07-29-183211.png</t>
        </is>
      </c>
      <c r="I178" s="23" t="inlineStr">
        <is>
          <t>3214929/DAXEUR/2026-07-29_56032851_DAXEUR_buy_loss</t>
        </is>
      </c>
    </row>
    <row r="179">
      <c r="A179" s="24" t="n">
        <v>20</v>
      </c>
      <c r="B179" s="26" t="n">
        <v>56032851</v>
      </c>
      <c r="C179" s="27" t="inlineStr">
        <is>
          <t>DAXEUR</t>
        </is>
      </c>
      <c r="D179" s="27" t="inlineStr">
        <is>
          <t>buy</t>
        </is>
      </c>
      <c r="E179" s="27" t="inlineStr">
        <is>
          <t>M15</t>
        </is>
      </c>
      <c r="F179" s="27" t="inlineStr">
        <is>
          <t>open</t>
        </is>
      </c>
      <c r="G179" s="27" t="inlineStr">
        <is>
          <t>Loss</t>
        </is>
      </c>
      <c r="H179" s="65" t="inlineStr">
        <is>
          <t>30_56032851_DAXEUR_buy_M15_open_2026-07-29-181601.png</t>
        </is>
      </c>
      <c r="I179" s="23" t="inlineStr">
        <is>
          <t>3214929/DAXEUR/2026-07-29_56032851_DAXEUR_buy_loss</t>
        </is>
      </c>
    </row>
    <row r="180">
      <c r="A180" s="24" t="n">
        <v>20</v>
      </c>
      <c r="B180" s="26" t="n">
        <v>56032851</v>
      </c>
      <c r="C180" s="27" t="inlineStr">
        <is>
          <t>DAXEUR</t>
        </is>
      </c>
      <c r="D180" s="27" t="inlineStr">
        <is>
          <t>buy</t>
        </is>
      </c>
      <c r="E180" s="27" t="inlineStr">
        <is>
          <t>M5</t>
        </is>
      </c>
      <c r="F180" s="27" t="inlineStr">
        <is>
          <t>close</t>
        </is>
      </c>
      <c r="G180" s="27" t="inlineStr">
        <is>
          <t>Loss</t>
        </is>
      </c>
      <c r="H180" s="65" t="inlineStr">
        <is>
          <t>40_56032851_DAXEUR_buy_M5_close_2026-07-29-183211.png</t>
        </is>
      </c>
      <c r="I180" s="23" t="inlineStr">
        <is>
          <t>3214929/DAXEUR/2026-07-29_56032851_DAXEUR_buy_loss</t>
        </is>
      </c>
    </row>
    <row r="181">
      <c r="A181" s="24" t="n">
        <v>20</v>
      </c>
      <c r="B181" s="26" t="n">
        <v>56032851</v>
      </c>
      <c r="C181" s="27" t="inlineStr">
        <is>
          <t>DAXEUR</t>
        </is>
      </c>
      <c r="D181" s="27" t="inlineStr">
        <is>
          <t>buy</t>
        </is>
      </c>
      <c r="E181" s="27" t="inlineStr">
        <is>
          <t>M5</t>
        </is>
      </c>
      <c r="F181" s="27" t="inlineStr">
        <is>
          <t>open</t>
        </is>
      </c>
      <c r="G181" s="27" t="inlineStr">
        <is>
          <t>Loss</t>
        </is>
      </c>
      <c r="H181" s="65" t="inlineStr">
        <is>
          <t>40_56032851_DAXEUR_buy_M5_open_2026-07-29-181601.png</t>
        </is>
      </c>
      <c r="I181" s="23" t="inlineStr">
        <is>
          <t>3214929/DAXEUR/2026-07-29_56032851_DAXEUR_buy_loss</t>
        </is>
      </c>
    </row>
    <row r="182">
      <c r="A182" s="24" t="n">
        <v>20</v>
      </c>
      <c r="B182" s="26" t="n">
        <v>56032851</v>
      </c>
      <c r="C182" s="27" t="inlineStr">
        <is>
          <t>DAXEUR</t>
        </is>
      </c>
      <c r="D182" s="27" t="inlineStr">
        <is>
          <t>buy</t>
        </is>
      </c>
      <c r="E182" s="27" t="inlineStr">
        <is>
          <t>M1</t>
        </is>
      </c>
      <c r="F182" s="27" t="inlineStr">
        <is>
          <t>close</t>
        </is>
      </c>
      <c r="G182" s="27" t="inlineStr">
        <is>
          <t>Loss</t>
        </is>
      </c>
      <c r="H182" s="65" t="inlineStr">
        <is>
          <t>50_56032851_DAXEUR_buy_M1_close_2026-07-29-183211.png</t>
        </is>
      </c>
      <c r="I182" s="23" t="inlineStr">
        <is>
          <t>3214929/DAXEUR/2026-07-29_56032851_DAXEUR_buy_loss</t>
        </is>
      </c>
    </row>
    <row r="183">
      <c r="A183" s="24" t="n">
        <v>20</v>
      </c>
      <c r="B183" s="26" t="n">
        <v>56032851</v>
      </c>
      <c r="C183" s="27" t="inlineStr">
        <is>
          <t>DAXEUR</t>
        </is>
      </c>
      <c r="D183" s="27" t="inlineStr">
        <is>
          <t>buy</t>
        </is>
      </c>
      <c r="E183" s="27" t="inlineStr">
        <is>
          <t>M1</t>
        </is>
      </c>
      <c r="F183" s="27" t="inlineStr">
        <is>
          <t>journey</t>
        </is>
      </c>
      <c r="G183" s="27" t="inlineStr">
        <is>
          <t>Loss</t>
        </is>
      </c>
      <c r="H183" s="65" t="inlineStr">
        <is>
          <t>50_56032851_DAXEUR_buy_M1_journey_2026-07-29-181601.png</t>
        </is>
      </c>
      <c r="I183" s="23" t="inlineStr">
        <is>
          <t>3214929/DAXEUR/2026-07-29_56032851_DAXEUR_buy_loss</t>
        </is>
      </c>
    </row>
    <row r="184">
      <c r="A184" s="24" t="n">
        <v>20</v>
      </c>
      <c r="B184" s="26" t="n">
        <v>56032851</v>
      </c>
      <c r="C184" s="27" t="inlineStr">
        <is>
          <t>DAXEUR</t>
        </is>
      </c>
      <c r="D184" s="27" t="inlineStr">
        <is>
          <t>buy</t>
        </is>
      </c>
      <c r="E184" s="27" t="inlineStr">
        <is>
          <t>M1</t>
        </is>
      </c>
      <c r="F184" s="27" t="inlineStr">
        <is>
          <t>open</t>
        </is>
      </c>
      <c r="G184" s="27" t="inlineStr">
        <is>
          <t>Loss</t>
        </is>
      </c>
      <c r="H184" s="65" t="inlineStr">
        <is>
          <t>50_56032851_DAXEUR_buy_M1_open_2026-07-29-181601.png</t>
        </is>
      </c>
      <c r="I184" s="23" t="inlineStr">
        <is>
          <t>3214929/DAXEUR/2026-07-29_56032851_DAXEUR_buy_loss</t>
        </is>
      </c>
    </row>
    <row r="185">
      <c r="A185" s="24" t="n">
        <v>21</v>
      </c>
      <c r="B185" s="26" t="n">
        <v>56040932</v>
      </c>
      <c r="C185" s="27" t="inlineStr">
        <is>
          <t>DAXEUR</t>
        </is>
      </c>
      <c r="D185" s="27" t="inlineStr">
        <is>
          <t>buy</t>
        </is>
      </c>
      <c r="E185" s="27" t="inlineStr">
        <is>
          <t>H4</t>
        </is>
      </c>
      <c r="F185" s="27" t="inlineStr">
        <is>
          <t>close</t>
        </is>
      </c>
      <c r="G185" s="27" t="inlineStr">
        <is>
          <t>Loss</t>
        </is>
      </c>
      <c r="H185" s="65" t="inlineStr">
        <is>
          <t>10_56040932_DAXEUR_buy_H4_close_2026-07-29-183538.png</t>
        </is>
      </c>
      <c r="I185" s="23" t="inlineStr">
        <is>
          <t>3214929/DAXEUR/2026-07-29_56040932_DAXEUR_buy_loss</t>
        </is>
      </c>
    </row>
    <row r="186">
      <c r="A186" s="24" t="n">
        <v>21</v>
      </c>
      <c r="B186" s="26" t="n">
        <v>56040932</v>
      </c>
      <c r="C186" s="27" t="inlineStr">
        <is>
          <t>DAXEUR</t>
        </is>
      </c>
      <c r="D186" s="27" t="inlineStr">
        <is>
          <t>buy</t>
        </is>
      </c>
      <c r="E186" s="27" t="inlineStr">
        <is>
          <t>H1</t>
        </is>
      </c>
      <c r="F186" s="27" t="inlineStr">
        <is>
          <t>close</t>
        </is>
      </c>
      <c r="G186" s="27" t="inlineStr">
        <is>
          <t>Loss</t>
        </is>
      </c>
      <c r="H186" s="65" t="inlineStr">
        <is>
          <t>20_56040932_DAXEUR_buy_H1_close_2026-07-29-183538.png</t>
        </is>
      </c>
      <c r="I186" s="23" t="inlineStr">
        <is>
          <t>3214929/DAXEUR/2026-07-29_56040932_DAXEUR_buy_loss</t>
        </is>
      </c>
    </row>
    <row r="187">
      <c r="A187" s="24" t="n">
        <v>21</v>
      </c>
      <c r="B187" s="26" t="n">
        <v>56040932</v>
      </c>
      <c r="C187" s="27" t="inlineStr">
        <is>
          <t>DAXEUR</t>
        </is>
      </c>
      <c r="D187" s="27" t="inlineStr">
        <is>
          <t>buy</t>
        </is>
      </c>
      <c r="E187" s="27" t="inlineStr">
        <is>
          <t>M15</t>
        </is>
      </c>
      <c r="F187" s="27" t="inlineStr">
        <is>
          <t>close</t>
        </is>
      </c>
      <c r="G187" s="27" t="inlineStr">
        <is>
          <t>Loss</t>
        </is>
      </c>
      <c r="H187" s="65" t="inlineStr">
        <is>
          <t>30_56040932_DAXEUR_buy_M15_close_2026-07-29-183538.png</t>
        </is>
      </c>
      <c r="I187" s="23" t="inlineStr">
        <is>
          <t>3214929/DAXEUR/2026-07-29_56040932_DAXEUR_buy_loss</t>
        </is>
      </c>
    </row>
    <row r="188">
      <c r="A188" s="24" t="n">
        <v>21</v>
      </c>
      <c r="B188" s="26" t="n">
        <v>56040932</v>
      </c>
      <c r="C188" s="27" t="inlineStr">
        <is>
          <t>DAXEUR</t>
        </is>
      </c>
      <c r="D188" s="27" t="inlineStr">
        <is>
          <t>buy</t>
        </is>
      </c>
      <c r="E188" s="27" t="inlineStr">
        <is>
          <t>M15</t>
        </is>
      </c>
      <c r="F188" s="27" t="inlineStr">
        <is>
          <t>open</t>
        </is>
      </c>
      <c r="G188" s="27" t="inlineStr">
        <is>
          <t>Loss</t>
        </is>
      </c>
      <c r="H188" s="65" t="inlineStr">
        <is>
          <t>30_56040932_DAXEUR_buy_M15_open_2026-07-29-183418.png</t>
        </is>
      </c>
      <c r="I188" s="23" t="inlineStr">
        <is>
          <t>3214929/DAXEUR/2026-07-29_56040932_DAXEUR_buy_loss</t>
        </is>
      </c>
    </row>
    <row r="189">
      <c r="A189" s="24" t="n">
        <v>21</v>
      </c>
      <c r="B189" s="26" t="n">
        <v>56040932</v>
      </c>
      <c r="C189" s="27" t="inlineStr">
        <is>
          <t>DAXEUR</t>
        </is>
      </c>
      <c r="D189" s="27" t="inlineStr">
        <is>
          <t>buy</t>
        </is>
      </c>
      <c r="E189" s="27" t="inlineStr">
        <is>
          <t>M5</t>
        </is>
      </c>
      <c r="F189" s="27" t="inlineStr">
        <is>
          <t>close</t>
        </is>
      </c>
      <c r="G189" s="27" t="inlineStr">
        <is>
          <t>Loss</t>
        </is>
      </c>
      <c r="H189" s="65" t="inlineStr">
        <is>
          <t>40_56040932_DAXEUR_buy_M5_close_2026-07-29-183538.png</t>
        </is>
      </c>
      <c r="I189" s="23" t="inlineStr">
        <is>
          <t>3214929/DAXEUR/2026-07-29_56040932_DAXEUR_buy_loss</t>
        </is>
      </c>
    </row>
    <row r="190">
      <c r="A190" s="24" t="n">
        <v>21</v>
      </c>
      <c r="B190" s="26" t="n">
        <v>56040932</v>
      </c>
      <c r="C190" s="27" t="inlineStr">
        <is>
          <t>DAXEUR</t>
        </is>
      </c>
      <c r="D190" s="27" t="inlineStr">
        <is>
          <t>buy</t>
        </is>
      </c>
      <c r="E190" s="27" t="inlineStr">
        <is>
          <t>M5</t>
        </is>
      </c>
      <c r="F190" s="27" t="inlineStr">
        <is>
          <t>open</t>
        </is>
      </c>
      <c r="G190" s="27" t="inlineStr">
        <is>
          <t>Loss</t>
        </is>
      </c>
      <c r="H190" s="65" t="inlineStr">
        <is>
          <t>40_56040932_DAXEUR_buy_M5_open_2026-07-29-183418.png</t>
        </is>
      </c>
      <c r="I190" s="23" t="inlineStr">
        <is>
          <t>3214929/DAXEUR/2026-07-29_56040932_DAXEUR_buy_loss</t>
        </is>
      </c>
    </row>
    <row r="191">
      <c r="A191" s="24" t="n">
        <v>21</v>
      </c>
      <c r="B191" s="26" t="n">
        <v>56040932</v>
      </c>
      <c r="C191" s="27" t="inlineStr">
        <is>
          <t>DAXEUR</t>
        </is>
      </c>
      <c r="D191" s="27" t="inlineStr">
        <is>
          <t>buy</t>
        </is>
      </c>
      <c r="E191" s="27" t="inlineStr">
        <is>
          <t>M1</t>
        </is>
      </c>
      <c r="F191" s="27" t="inlineStr">
        <is>
          <t>close</t>
        </is>
      </c>
      <c r="G191" s="27" t="inlineStr">
        <is>
          <t>Loss</t>
        </is>
      </c>
      <c r="H191" s="65" t="inlineStr">
        <is>
          <t>50_56040932_DAXEUR_buy_M1_close_2026-07-29-183538.png</t>
        </is>
      </c>
      <c r="I191" s="23" t="inlineStr">
        <is>
          <t>3214929/DAXEUR/2026-07-29_56040932_DAXEUR_buy_loss</t>
        </is>
      </c>
    </row>
    <row r="192">
      <c r="A192" s="24" t="n">
        <v>21</v>
      </c>
      <c r="B192" s="26" t="n">
        <v>56040932</v>
      </c>
      <c r="C192" s="27" t="inlineStr">
        <is>
          <t>DAXEUR</t>
        </is>
      </c>
      <c r="D192" s="27" t="inlineStr">
        <is>
          <t>buy</t>
        </is>
      </c>
      <c r="E192" s="27" t="inlineStr">
        <is>
          <t>M1</t>
        </is>
      </c>
      <c r="F192" s="27" t="inlineStr">
        <is>
          <t>journey</t>
        </is>
      </c>
      <c r="G192" s="27" t="inlineStr">
        <is>
          <t>Loss</t>
        </is>
      </c>
      <c r="H192" s="65" t="inlineStr">
        <is>
          <t>50_56040932_DAXEUR_buy_M1_journey_2026-07-29-183418.png</t>
        </is>
      </c>
      <c r="I192" s="23" t="inlineStr">
        <is>
          <t>3214929/DAXEUR/2026-07-29_56040932_DAXEUR_buy_loss</t>
        </is>
      </c>
    </row>
    <row r="193">
      <c r="A193" s="24" t="n">
        <v>21</v>
      </c>
      <c r="B193" s="26" t="n">
        <v>56040932</v>
      </c>
      <c r="C193" s="27" t="inlineStr">
        <is>
          <t>DAXEUR</t>
        </is>
      </c>
      <c r="D193" s="27" t="inlineStr">
        <is>
          <t>buy</t>
        </is>
      </c>
      <c r="E193" s="27" t="inlineStr">
        <is>
          <t>M1</t>
        </is>
      </c>
      <c r="F193" s="27" t="inlineStr">
        <is>
          <t>open</t>
        </is>
      </c>
      <c r="G193" s="27" t="inlineStr">
        <is>
          <t>Loss</t>
        </is>
      </c>
      <c r="H193" s="65" t="inlineStr">
        <is>
          <t>50_56040932_DAXEUR_buy_M1_open_2026-07-29-183418.png</t>
        </is>
      </c>
      <c r="I193" s="23" t="inlineStr">
        <is>
          <t>3214929/DAXEUR/2026-07-29_56040932_DAXEUR_buy_loss</t>
        </is>
      </c>
    </row>
    <row r="194">
      <c r="A194" s="24" t="n">
        <v>22</v>
      </c>
      <c r="B194" s="26" t="n">
        <v>56042302</v>
      </c>
      <c r="C194" s="27" t="inlineStr">
        <is>
          <t>XAUUSD</t>
        </is>
      </c>
      <c r="D194" s="27" t="inlineStr">
        <is>
          <t>sell</t>
        </is>
      </c>
      <c r="E194" s="27" t="inlineStr">
        <is>
          <t>H4</t>
        </is>
      </c>
      <c r="F194" s="27" t="inlineStr">
        <is>
          <t>close</t>
        </is>
      </c>
      <c r="G194" s="27" t="inlineStr">
        <is>
          <t>Loss</t>
        </is>
      </c>
      <c r="H194" s="65" t="inlineStr">
        <is>
          <t>10_56042302_XAUUSD_sell_H4_close_2026-07-29-183947.png</t>
        </is>
      </c>
      <c r="I194" s="23" t="inlineStr">
        <is>
          <t>3214929/XAUUSD/2026-07-29_56042302_XAUUSD_sell_loss</t>
        </is>
      </c>
    </row>
    <row r="195">
      <c r="A195" s="24" t="n">
        <v>22</v>
      </c>
      <c r="B195" s="26" t="n">
        <v>56042302</v>
      </c>
      <c r="C195" s="27" t="inlineStr">
        <is>
          <t>XAUUSD</t>
        </is>
      </c>
      <c r="D195" s="27" t="inlineStr">
        <is>
          <t>sell</t>
        </is>
      </c>
      <c r="E195" s="27" t="inlineStr">
        <is>
          <t>H1</t>
        </is>
      </c>
      <c r="F195" s="27" t="inlineStr">
        <is>
          <t>close</t>
        </is>
      </c>
      <c r="G195" s="27" t="inlineStr">
        <is>
          <t>Loss</t>
        </is>
      </c>
      <c r="H195" s="65" t="inlineStr">
        <is>
          <t>20_56042302_XAUUSD_sell_H1_close_2026-07-29-183947.png</t>
        </is>
      </c>
      <c r="I195" s="23" t="inlineStr">
        <is>
          <t>3214929/XAUUSD/2026-07-29_56042302_XAUUSD_sell_loss</t>
        </is>
      </c>
    </row>
    <row r="196">
      <c r="A196" s="24" t="n">
        <v>22</v>
      </c>
      <c r="B196" s="26" t="n">
        <v>56042302</v>
      </c>
      <c r="C196" s="27" t="inlineStr">
        <is>
          <t>XAUUSD</t>
        </is>
      </c>
      <c r="D196" s="27" t="inlineStr">
        <is>
          <t>sell</t>
        </is>
      </c>
      <c r="E196" s="27" t="inlineStr">
        <is>
          <t>M15</t>
        </is>
      </c>
      <c r="F196" s="27" t="inlineStr">
        <is>
          <t>close</t>
        </is>
      </c>
      <c r="G196" s="27" t="inlineStr">
        <is>
          <t>Loss</t>
        </is>
      </c>
      <c r="H196" s="65" t="inlineStr">
        <is>
          <t>30_56042302_XAUUSD_sell_M15_close_2026-07-29-183947.png</t>
        </is>
      </c>
      <c r="I196" s="23" t="inlineStr">
        <is>
          <t>3214929/XAUUSD/2026-07-29_56042302_XAUUSD_sell_loss</t>
        </is>
      </c>
    </row>
    <row r="197">
      <c r="A197" s="24" t="n">
        <v>22</v>
      </c>
      <c r="B197" s="26" t="n">
        <v>56042302</v>
      </c>
      <c r="C197" s="27" t="inlineStr">
        <is>
          <t>XAUUSD</t>
        </is>
      </c>
      <c r="D197" s="27" t="inlineStr">
        <is>
          <t>sell</t>
        </is>
      </c>
      <c r="E197" s="27" t="inlineStr">
        <is>
          <t>M15</t>
        </is>
      </c>
      <c r="F197" s="27" t="inlineStr">
        <is>
          <t>open</t>
        </is>
      </c>
      <c r="G197" s="27" t="inlineStr">
        <is>
          <t>Loss</t>
        </is>
      </c>
      <c r="H197" s="65" t="inlineStr">
        <is>
          <t>30_56042302_XAUUSD_sell_M15_open_2026-07-29-183810.png</t>
        </is>
      </c>
      <c r="I197" s="23" t="inlineStr">
        <is>
          <t>3214929/XAUUSD/2026-07-29_56042302_XAUUSD_sell_loss</t>
        </is>
      </c>
    </row>
    <row r="198">
      <c r="A198" s="24" t="n">
        <v>22</v>
      </c>
      <c r="B198" s="26" t="n">
        <v>56042302</v>
      </c>
      <c r="C198" s="27" t="inlineStr">
        <is>
          <t>XAUUSD</t>
        </is>
      </c>
      <c r="D198" s="27" t="inlineStr">
        <is>
          <t>sell</t>
        </is>
      </c>
      <c r="E198" s="27" t="inlineStr">
        <is>
          <t>M5</t>
        </is>
      </c>
      <c r="F198" s="27" t="inlineStr">
        <is>
          <t>close</t>
        </is>
      </c>
      <c r="G198" s="27" t="inlineStr">
        <is>
          <t>Loss</t>
        </is>
      </c>
      <c r="H198" s="65" t="inlineStr">
        <is>
          <t>40_56042302_XAUUSD_sell_M5_close_2026-07-29-183947.png</t>
        </is>
      </c>
      <c r="I198" s="23" t="inlineStr">
        <is>
          <t>3214929/XAUUSD/2026-07-29_56042302_XAUUSD_sell_loss</t>
        </is>
      </c>
    </row>
    <row r="199">
      <c r="A199" s="24" t="n">
        <v>22</v>
      </c>
      <c r="B199" s="26" t="n">
        <v>56042302</v>
      </c>
      <c r="C199" s="27" t="inlineStr">
        <is>
          <t>XAUUSD</t>
        </is>
      </c>
      <c r="D199" s="27" t="inlineStr">
        <is>
          <t>sell</t>
        </is>
      </c>
      <c r="E199" s="27" t="inlineStr">
        <is>
          <t>M5</t>
        </is>
      </c>
      <c r="F199" s="27" t="inlineStr">
        <is>
          <t>open</t>
        </is>
      </c>
      <c r="G199" s="27" t="inlineStr">
        <is>
          <t>Loss</t>
        </is>
      </c>
      <c r="H199" s="65" t="inlineStr">
        <is>
          <t>40_56042302_XAUUSD_sell_M5_open_2026-07-29-183810.png</t>
        </is>
      </c>
      <c r="I199" s="23" t="inlineStr">
        <is>
          <t>3214929/XAUUSD/2026-07-29_56042302_XAUUSD_sell_loss</t>
        </is>
      </c>
    </row>
    <row r="200">
      <c r="A200" s="24" t="n">
        <v>22</v>
      </c>
      <c r="B200" s="26" t="n">
        <v>56042302</v>
      </c>
      <c r="C200" s="27" t="inlineStr">
        <is>
          <t>XAUUSD</t>
        </is>
      </c>
      <c r="D200" s="27" t="inlineStr">
        <is>
          <t>sell</t>
        </is>
      </c>
      <c r="E200" s="27" t="inlineStr">
        <is>
          <t>M1</t>
        </is>
      </c>
      <c r="F200" s="27" t="inlineStr">
        <is>
          <t>close</t>
        </is>
      </c>
      <c r="G200" s="27" t="inlineStr">
        <is>
          <t>Loss</t>
        </is>
      </c>
      <c r="H200" s="65" t="inlineStr">
        <is>
          <t>50_56042302_XAUUSD_sell_M1_close_2026-07-29-183947.png</t>
        </is>
      </c>
      <c r="I200" s="23" t="inlineStr">
        <is>
          <t>3214929/XAUUSD/2026-07-29_56042302_XAUUSD_sell_loss</t>
        </is>
      </c>
    </row>
    <row r="201">
      <c r="A201" s="24" t="n">
        <v>22</v>
      </c>
      <c r="B201" s="26" t="n">
        <v>56042302</v>
      </c>
      <c r="C201" s="27" t="inlineStr">
        <is>
          <t>XAUUSD</t>
        </is>
      </c>
      <c r="D201" s="27" t="inlineStr">
        <is>
          <t>sell</t>
        </is>
      </c>
      <c r="E201" s="27" t="inlineStr">
        <is>
          <t>M1</t>
        </is>
      </c>
      <c r="F201" s="27" t="inlineStr">
        <is>
          <t>journey</t>
        </is>
      </c>
      <c r="G201" s="27" t="inlineStr">
        <is>
          <t>Loss</t>
        </is>
      </c>
      <c r="H201" s="65" t="inlineStr">
        <is>
          <t>50_56042302_XAUUSD_sell_M1_journey_2026-07-29-183810.png</t>
        </is>
      </c>
      <c r="I201" s="23" t="inlineStr">
        <is>
          <t>3214929/XAUUSD/2026-07-29_56042302_XAUUSD_sell_loss</t>
        </is>
      </c>
    </row>
    <row r="202">
      <c r="A202" s="24" t="n">
        <v>22</v>
      </c>
      <c r="B202" s="26" t="n">
        <v>56042302</v>
      </c>
      <c r="C202" s="27" t="inlineStr">
        <is>
          <t>XAUUSD</t>
        </is>
      </c>
      <c r="D202" s="27" t="inlineStr">
        <is>
          <t>sell</t>
        </is>
      </c>
      <c r="E202" s="27" t="inlineStr">
        <is>
          <t>M1</t>
        </is>
      </c>
      <c r="F202" s="27" t="inlineStr">
        <is>
          <t>open</t>
        </is>
      </c>
      <c r="G202" s="27" t="inlineStr">
        <is>
          <t>Loss</t>
        </is>
      </c>
      <c r="H202" s="65" t="inlineStr">
        <is>
          <t>50_56042302_XAUUSD_sell_M1_open_2026-07-29-183810.png</t>
        </is>
      </c>
      <c r="I202" s="23" t="inlineStr">
        <is>
          <t>3214929/XAUUSD/2026-07-29_56042302_XAUUSD_sell_loss</t>
        </is>
      </c>
    </row>
    <row r="203">
      <c r="A203" s="24" t="n">
        <v>23</v>
      </c>
      <c r="B203" s="26" t="n">
        <v>56043357</v>
      </c>
      <c r="C203" s="27" t="inlineStr">
        <is>
          <t>DAXEUR</t>
        </is>
      </c>
      <c r="D203" s="27" t="inlineStr">
        <is>
          <t>buy</t>
        </is>
      </c>
      <c r="E203" s="27" t="inlineStr">
        <is>
          <t>H4</t>
        </is>
      </c>
      <c r="F203" s="27" t="inlineStr">
        <is>
          <t>close</t>
        </is>
      </c>
      <c r="G203" s="27" t="inlineStr">
        <is>
          <t>Win</t>
        </is>
      </c>
      <c r="H203" s="65" t="inlineStr">
        <is>
          <t>10_56043357_DAXEUR_buy_H4_close_2026-07-29-184801.png</t>
        </is>
      </c>
      <c r="I203" s="23" t="inlineStr">
        <is>
          <t>3214929/DAXEUR/2026-07-29_56043357_DAXEUR_buy_win</t>
        </is>
      </c>
    </row>
    <row r="204">
      <c r="A204" s="24" t="n">
        <v>23</v>
      </c>
      <c r="B204" s="26" t="n">
        <v>56043357</v>
      </c>
      <c r="C204" s="27" t="inlineStr">
        <is>
          <t>DAXEUR</t>
        </is>
      </c>
      <c r="D204" s="27" t="inlineStr">
        <is>
          <t>buy</t>
        </is>
      </c>
      <c r="E204" s="27" t="inlineStr">
        <is>
          <t>H1</t>
        </is>
      </c>
      <c r="F204" s="27" t="inlineStr">
        <is>
          <t>close</t>
        </is>
      </c>
      <c r="G204" s="27" t="inlineStr">
        <is>
          <t>Win</t>
        </is>
      </c>
      <c r="H204" s="65" t="inlineStr">
        <is>
          <t>20_56043357_DAXEUR_buy_H1_close_2026-07-29-184801.png</t>
        </is>
      </c>
      <c r="I204" s="23" t="inlineStr">
        <is>
          <t>3214929/DAXEUR/2026-07-29_56043357_DAXEUR_buy_win</t>
        </is>
      </c>
    </row>
    <row r="205">
      <c r="A205" s="24" t="n">
        <v>23</v>
      </c>
      <c r="B205" s="26" t="n">
        <v>56043357</v>
      </c>
      <c r="C205" s="27" t="inlineStr">
        <is>
          <t>DAXEUR</t>
        </is>
      </c>
      <c r="D205" s="27" t="inlineStr">
        <is>
          <t>buy</t>
        </is>
      </c>
      <c r="E205" s="27" t="inlineStr">
        <is>
          <t>M15</t>
        </is>
      </c>
      <c r="F205" s="27" t="inlineStr">
        <is>
          <t>close</t>
        </is>
      </c>
      <c r="G205" s="27" t="inlineStr">
        <is>
          <t>Win</t>
        </is>
      </c>
      <c r="H205" s="65" t="inlineStr">
        <is>
          <t>30_56043357_DAXEUR_buy_M15_close_2026-07-29-184801.png</t>
        </is>
      </c>
      <c r="I205" s="23" t="inlineStr">
        <is>
          <t>3214929/DAXEUR/2026-07-29_56043357_DAXEUR_buy_win</t>
        </is>
      </c>
    </row>
    <row r="206">
      <c r="A206" s="24" t="n">
        <v>23</v>
      </c>
      <c r="B206" s="26" t="n">
        <v>56043357</v>
      </c>
      <c r="C206" s="27" t="inlineStr">
        <is>
          <t>DAXEUR</t>
        </is>
      </c>
      <c r="D206" s="27" t="inlineStr">
        <is>
          <t>buy</t>
        </is>
      </c>
      <c r="E206" s="27" t="inlineStr">
        <is>
          <t>M15</t>
        </is>
      </c>
      <c r="F206" s="27" t="inlineStr">
        <is>
          <t>open</t>
        </is>
      </c>
      <c r="G206" s="27" t="inlineStr">
        <is>
          <t>Win</t>
        </is>
      </c>
      <c r="H206" s="65" t="inlineStr">
        <is>
          <t>30_56043357_DAXEUR_buy_M15_open_2026-07-29-184012.png</t>
        </is>
      </c>
      <c r="I206" s="23" t="inlineStr">
        <is>
          <t>3214929/DAXEUR/2026-07-29_56043357_DAXEUR_buy_win</t>
        </is>
      </c>
    </row>
    <row r="207">
      <c r="A207" s="24" t="n">
        <v>23</v>
      </c>
      <c r="B207" s="26" t="n">
        <v>56043357</v>
      </c>
      <c r="C207" s="27" t="inlineStr">
        <is>
          <t>DAXEUR</t>
        </is>
      </c>
      <c r="D207" s="27" t="inlineStr">
        <is>
          <t>buy</t>
        </is>
      </c>
      <c r="E207" s="27" t="inlineStr">
        <is>
          <t>M5</t>
        </is>
      </c>
      <c r="F207" s="27" t="inlineStr">
        <is>
          <t>close</t>
        </is>
      </c>
      <c r="G207" s="27" t="inlineStr">
        <is>
          <t>Win</t>
        </is>
      </c>
      <c r="H207" s="65" t="inlineStr">
        <is>
          <t>40_56043357_DAXEUR_buy_M5_close_2026-07-29-184801.png</t>
        </is>
      </c>
      <c r="I207" s="23" t="inlineStr">
        <is>
          <t>3214929/DAXEUR/2026-07-29_56043357_DAXEUR_buy_win</t>
        </is>
      </c>
    </row>
    <row r="208">
      <c r="A208" s="24" t="n">
        <v>23</v>
      </c>
      <c r="B208" s="26" t="n">
        <v>56043357</v>
      </c>
      <c r="C208" s="27" t="inlineStr">
        <is>
          <t>DAXEUR</t>
        </is>
      </c>
      <c r="D208" s="27" t="inlineStr">
        <is>
          <t>buy</t>
        </is>
      </c>
      <c r="E208" s="27" t="inlineStr">
        <is>
          <t>M5</t>
        </is>
      </c>
      <c r="F208" s="27" t="inlineStr">
        <is>
          <t>open</t>
        </is>
      </c>
      <c r="G208" s="27" t="inlineStr">
        <is>
          <t>Win</t>
        </is>
      </c>
      <c r="H208" s="65" t="inlineStr">
        <is>
          <t>40_56043357_DAXEUR_buy_M5_open_2026-07-29-184012.png</t>
        </is>
      </c>
      <c r="I208" s="23" t="inlineStr">
        <is>
          <t>3214929/DAXEUR/2026-07-29_56043357_DAXEUR_buy_win</t>
        </is>
      </c>
    </row>
    <row r="209">
      <c r="A209" s="24" t="n">
        <v>23</v>
      </c>
      <c r="B209" s="26" t="n">
        <v>56043357</v>
      </c>
      <c r="C209" s="27" t="inlineStr">
        <is>
          <t>DAXEUR</t>
        </is>
      </c>
      <c r="D209" s="27" t="inlineStr">
        <is>
          <t>buy</t>
        </is>
      </c>
      <c r="E209" s="27" t="inlineStr">
        <is>
          <t>M1</t>
        </is>
      </c>
      <c r="F209" s="27" t="inlineStr">
        <is>
          <t>close</t>
        </is>
      </c>
      <c r="G209" s="27" t="inlineStr">
        <is>
          <t>Win</t>
        </is>
      </c>
      <c r="H209" s="65" t="inlineStr">
        <is>
          <t>50_56043357_DAXEUR_buy_M1_close_2026-07-29-184801.png</t>
        </is>
      </c>
      <c r="I209" s="23" t="inlineStr">
        <is>
          <t>3214929/DAXEUR/2026-07-29_56043357_DAXEUR_buy_win</t>
        </is>
      </c>
    </row>
    <row r="210">
      <c r="A210" s="24" t="n">
        <v>23</v>
      </c>
      <c r="B210" s="26" t="n">
        <v>56043357</v>
      </c>
      <c r="C210" s="27" t="inlineStr">
        <is>
          <t>DAXEUR</t>
        </is>
      </c>
      <c r="D210" s="27" t="inlineStr">
        <is>
          <t>buy</t>
        </is>
      </c>
      <c r="E210" s="27" t="inlineStr">
        <is>
          <t>M1</t>
        </is>
      </c>
      <c r="F210" s="27" t="inlineStr">
        <is>
          <t>journey</t>
        </is>
      </c>
      <c r="G210" s="27" t="inlineStr">
        <is>
          <t>Win</t>
        </is>
      </c>
      <c r="H210" s="65" t="inlineStr">
        <is>
          <t>50_56043357_DAXEUR_buy_M1_journey_2026-07-29-184012.png</t>
        </is>
      </c>
      <c r="I210" s="23" t="inlineStr">
        <is>
          <t>3214929/DAXEUR/2026-07-29_56043357_DAXEUR_buy_win</t>
        </is>
      </c>
    </row>
    <row r="211">
      <c r="A211" s="24" t="n">
        <v>23</v>
      </c>
      <c r="B211" s="26" t="n">
        <v>56043357</v>
      </c>
      <c r="C211" s="27" t="inlineStr">
        <is>
          <t>DAXEUR</t>
        </is>
      </c>
      <c r="D211" s="27" t="inlineStr">
        <is>
          <t>buy</t>
        </is>
      </c>
      <c r="E211" s="27" t="inlineStr">
        <is>
          <t>M1</t>
        </is>
      </c>
      <c r="F211" s="27" t="inlineStr">
        <is>
          <t>open</t>
        </is>
      </c>
      <c r="G211" s="27" t="inlineStr">
        <is>
          <t>Win</t>
        </is>
      </c>
      <c r="H211" s="65" t="inlineStr">
        <is>
          <t>50_56043357_DAXEUR_buy_M1_open_2026-07-29-184012.png</t>
        </is>
      </c>
      <c r="I211" s="23" t="inlineStr">
        <is>
          <t>3214929/DAXEUR/2026-07-29_56043357_DAXEUR_buy_win</t>
        </is>
      </c>
    </row>
    <row r="212">
      <c r="A212" s="24" t="n">
        <v>24</v>
      </c>
      <c r="B212" s="26" t="n">
        <v>56045244</v>
      </c>
      <c r="C212" s="27" t="inlineStr">
        <is>
          <t>DAXEUR</t>
        </is>
      </c>
      <c r="D212" s="27" t="inlineStr">
        <is>
          <t>buy</t>
        </is>
      </c>
      <c r="E212" s="27" t="inlineStr">
        <is>
          <t>H4</t>
        </is>
      </c>
      <c r="F212" s="27" t="inlineStr">
        <is>
          <t>close</t>
        </is>
      </c>
      <c r="G212" s="27" t="inlineStr">
        <is>
          <t>Loss</t>
        </is>
      </c>
      <c r="H212" s="65" t="inlineStr">
        <is>
          <t>10_56045244_DAXEUR_buy_H4_close_2026-07-29-184845.png</t>
        </is>
      </c>
      <c r="I212" s="23" t="inlineStr">
        <is>
          <t>3214929/DAXEUR/2026-07-29_56045244_DAXEUR_buy_loss</t>
        </is>
      </c>
    </row>
    <row r="213">
      <c r="A213" s="24" t="n">
        <v>24</v>
      </c>
      <c r="B213" s="26" t="n">
        <v>56045244</v>
      </c>
      <c r="C213" s="27" t="inlineStr">
        <is>
          <t>DAXEUR</t>
        </is>
      </c>
      <c r="D213" s="27" t="inlineStr">
        <is>
          <t>buy</t>
        </is>
      </c>
      <c r="E213" s="27" t="inlineStr">
        <is>
          <t>H1</t>
        </is>
      </c>
      <c r="F213" s="27" t="inlineStr">
        <is>
          <t>close</t>
        </is>
      </c>
      <c r="G213" s="27" t="inlineStr">
        <is>
          <t>Loss</t>
        </is>
      </c>
      <c r="H213" s="65" t="inlineStr">
        <is>
          <t>20_56045244_DAXEUR_buy_H1_close_2026-07-29-184845.png</t>
        </is>
      </c>
      <c r="I213" s="23" t="inlineStr">
        <is>
          <t>3214929/DAXEUR/2026-07-29_56045244_DAXEUR_buy_loss</t>
        </is>
      </c>
    </row>
    <row r="214">
      <c r="A214" s="24" t="n">
        <v>24</v>
      </c>
      <c r="B214" s="26" t="n">
        <v>56045244</v>
      </c>
      <c r="C214" s="27" t="inlineStr">
        <is>
          <t>DAXEUR</t>
        </is>
      </c>
      <c r="D214" s="27" t="inlineStr">
        <is>
          <t>buy</t>
        </is>
      </c>
      <c r="E214" s="27" t="inlineStr">
        <is>
          <t>M15</t>
        </is>
      </c>
      <c r="F214" s="27" t="inlineStr">
        <is>
          <t>close</t>
        </is>
      </c>
      <c r="G214" s="27" t="inlineStr">
        <is>
          <t>Loss</t>
        </is>
      </c>
      <c r="H214" s="65" t="inlineStr">
        <is>
          <t>30_56045244_DAXEUR_buy_M15_close_2026-07-29-184845.png</t>
        </is>
      </c>
      <c r="I214" s="23" t="inlineStr">
        <is>
          <t>3214929/DAXEUR/2026-07-29_56045244_DAXEUR_buy_loss</t>
        </is>
      </c>
    </row>
    <row r="215">
      <c r="A215" s="24" t="n">
        <v>24</v>
      </c>
      <c r="B215" s="26" t="n">
        <v>56045244</v>
      </c>
      <c r="C215" s="27" t="inlineStr">
        <is>
          <t>DAXEUR</t>
        </is>
      </c>
      <c r="D215" s="27" t="inlineStr">
        <is>
          <t>buy</t>
        </is>
      </c>
      <c r="E215" s="27" t="inlineStr">
        <is>
          <t>M15</t>
        </is>
      </c>
      <c r="F215" s="27" t="inlineStr">
        <is>
          <t>open</t>
        </is>
      </c>
      <c r="G215" s="27" t="inlineStr">
        <is>
          <t>Loss</t>
        </is>
      </c>
      <c r="H215" s="65" t="inlineStr">
        <is>
          <t>30_56045244_DAXEUR_buy_M15_open_2026-07-29-184350.png</t>
        </is>
      </c>
      <c r="I215" s="23" t="inlineStr">
        <is>
          <t>3214929/DAXEUR/2026-07-29_56045244_DAXEUR_buy_loss</t>
        </is>
      </c>
    </row>
    <row r="216">
      <c r="A216" s="24" t="n">
        <v>24</v>
      </c>
      <c r="B216" s="26" t="n">
        <v>56045244</v>
      </c>
      <c r="C216" s="27" t="inlineStr">
        <is>
          <t>DAXEUR</t>
        </is>
      </c>
      <c r="D216" s="27" t="inlineStr">
        <is>
          <t>buy</t>
        </is>
      </c>
      <c r="E216" s="27" t="inlineStr">
        <is>
          <t>M5</t>
        </is>
      </c>
      <c r="F216" s="27" t="inlineStr">
        <is>
          <t>close</t>
        </is>
      </c>
      <c r="G216" s="27" t="inlineStr">
        <is>
          <t>Loss</t>
        </is>
      </c>
      <c r="H216" s="65" t="inlineStr">
        <is>
          <t>40_56045244_DAXEUR_buy_M5_close_2026-07-29-184845.png</t>
        </is>
      </c>
      <c r="I216" s="23" t="inlineStr">
        <is>
          <t>3214929/DAXEUR/2026-07-29_56045244_DAXEUR_buy_loss</t>
        </is>
      </c>
    </row>
    <row r="217">
      <c r="A217" s="24" t="n">
        <v>24</v>
      </c>
      <c r="B217" s="26" t="n">
        <v>56045244</v>
      </c>
      <c r="C217" s="27" t="inlineStr">
        <is>
          <t>DAXEUR</t>
        </is>
      </c>
      <c r="D217" s="27" t="inlineStr">
        <is>
          <t>buy</t>
        </is>
      </c>
      <c r="E217" s="27" t="inlineStr">
        <is>
          <t>M5</t>
        </is>
      </c>
      <c r="F217" s="27" t="inlineStr">
        <is>
          <t>open</t>
        </is>
      </c>
      <c r="G217" s="27" t="inlineStr">
        <is>
          <t>Loss</t>
        </is>
      </c>
      <c r="H217" s="65" t="inlineStr">
        <is>
          <t>40_56045244_DAXEUR_buy_M5_open_2026-07-29-184350.png</t>
        </is>
      </c>
      <c r="I217" s="23" t="inlineStr">
        <is>
          <t>3214929/DAXEUR/2026-07-29_56045244_DAXEUR_buy_loss</t>
        </is>
      </c>
    </row>
    <row r="218">
      <c r="A218" s="24" t="n">
        <v>24</v>
      </c>
      <c r="B218" s="26" t="n">
        <v>56045244</v>
      </c>
      <c r="C218" s="27" t="inlineStr">
        <is>
          <t>DAXEUR</t>
        </is>
      </c>
      <c r="D218" s="27" t="inlineStr">
        <is>
          <t>buy</t>
        </is>
      </c>
      <c r="E218" s="27" t="inlineStr">
        <is>
          <t>M1</t>
        </is>
      </c>
      <c r="F218" s="27" t="inlineStr">
        <is>
          <t>close</t>
        </is>
      </c>
      <c r="G218" s="27" t="inlineStr">
        <is>
          <t>Loss</t>
        </is>
      </c>
      <c r="H218" s="65" t="inlineStr">
        <is>
          <t>50_56045244_DAXEUR_buy_M1_close_2026-07-29-184845.png</t>
        </is>
      </c>
      <c r="I218" s="23" t="inlineStr">
        <is>
          <t>3214929/DAXEUR/2026-07-29_56045244_DAXEUR_buy_loss</t>
        </is>
      </c>
    </row>
    <row r="219">
      <c r="A219" s="24" t="n">
        <v>24</v>
      </c>
      <c r="B219" s="26" t="n">
        <v>56045244</v>
      </c>
      <c r="C219" s="27" t="inlineStr">
        <is>
          <t>DAXEUR</t>
        </is>
      </c>
      <c r="D219" s="27" t="inlineStr">
        <is>
          <t>buy</t>
        </is>
      </c>
      <c r="E219" s="27" t="inlineStr">
        <is>
          <t>M1</t>
        </is>
      </c>
      <c r="F219" s="27" t="inlineStr">
        <is>
          <t>journey</t>
        </is>
      </c>
      <c r="G219" s="27" t="inlineStr">
        <is>
          <t>Loss</t>
        </is>
      </c>
      <c r="H219" s="65" t="inlineStr">
        <is>
          <t>50_56045244_DAXEUR_buy_M1_journey_2026-07-29-184350.png</t>
        </is>
      </c>
      <c r="I219" s="23" t="inlineStr">
        <is>
          <t>3214929/DAXEUR/2026-07-29_56045244_DAXEUR_buy_loss</t>
        </is>
      </c>
    </row>
    <row r="220">
      <c r="A220" s="24" t="n">
        <v>24</v>
      </c>
      <c r="B220" s="26" t="n">
        <v>56045244</v>
      </c>
      <c r="C220" s="27" t="inlineStr">
        <is>
          <t>DAXEUR</t>
        </is>
      </c>
      <c r="D220" s="27" t="inlineStr">
        <is>
          <t>buy</t>
        </is>
      </c>
      <c r="E220" s="27" t="inlineStr">
        <is>
          <t>M1</t>
        </is>
      </c>
      <c r="F220" s="27" t="inlineStr">
        <is>
          <t>open</t>
        </is>
      </c>
      <c r="G220" s="27" t="inlineStr">
        <is>
          <t>Loss</t>
        </is>
      </c>
      <c r="H220" s="65" t="inlineStr">
        <is>
          <t>50_56045244_DAXEUR_buy_M1_open_2026-07-29-184350.png</t>
        </is>
      </c>
      <c r="I220" s="23" t="inlineStr">
        <is>
          <t>3214929/DAXEUR/2026-07-29_56045244_DAXEUR_buy_loss</t>
        </is>
      </c>
    </row>
    <row r="221">
      <c r="A221" s="24" t="n">
        <v>25</v>
      </c>
      <c r="B221" s="26" t="n">
        <v>56050134</v>
      </c>
      <c r="C221" s="27" t="inlineStr">
        <is>
          <t>NDXUSD</t>
        </is>
      </c>
      <c r="D221" s="27" t="inlineStr">
        <is>
          <t>sell</t>
        </is>
      </c>
      <c r="E221" s="27" t="inlineStr">
        <is>
          <t>H4</t>
        </is>
      </c>
      <c r="F221" s="27" t="inlineStr">
        <is>
          <t>close</t>
        </is>
      </c>
      <c r="G221" s="27" t="inlineStr">
        <is>
          <t>Win</t>
        </is>
      </c>
      <c r="H221" s="65" t="inlineStr">
        <is>
          <t>10_56050134_NDXUSD_sell_H4_close_2026-07-29-190326.png</t>
        </is>
      </c>
      <c r="I221" s="23" t="inlineStr">
        <is>
          <t>3214929/NDXUSD/2026-07-29_56050134_NDXUSD_sell_win</t>
        </is>
      </c>
    </row>
    <row r="222">
      <c r="A222" s="24" t="n">
        <v>25</v>
      </c>
      <c r="B222" s="26" t="n">
        <v>56050134</v>
      </c>
      <c r="C222" s="27" t="inlineStr">
        <is>
          <t>NDXUSD</t>
        </is>
      </c>
      <c r="D222" s="27" t="inlineStr">
        <is>
          <t>sell</t>
        </is>
      </c>
      <c r="E222" s="27" t="inlineStr">
        <is>
          <t>H1</t>
        </is>
      </c>
      <c r="F222" s="27" t="inlineStr">
        <is>
          <t>close</t>
        </is>
      </c>
      <c r="G222" s="27" t="inlineStr">
        <is>
          <t>Win</t>
        </is>
      </c>
      <c r="H222" s="65" t="inlineStr">
        <is>
          <t>20_56050134_NDXUSD_sell_H1_close_2026-07-29-190326.png</t>
        </is>
      </c>
      <c r="I222" s="23" t="inlineStr">
        <is>
          <t>3214929/NDXUSD/2026-07-29_56050134_NDXUSD_sell_win</t>
        </is>
      </c>
    </row>
    <row r="223">
      <c r="A223" s="24" t="n">
        <v>25</v>
      </c>
      <c r="B223" s="26" t="n">
        <v>56050134</v>
      </c>
      <c r="C223" s="27" t="inlineStr">
        <is>
          <t>NDXUSD</t>
        </is>
      </c>
      <c r="D223" s="27" t="inlineStr">
        <is>
          <t>sell</t>
        </is>
      </c>
      <c r="E223" s="27" t="inlineStr">
        <is>
          <t>M15</t>
        </is>
      </c>
      <c r="F223" s="27" t="inlineStr">
        <is>
          <t>close</t>
        </is>
      </c>
      <c r="G223" s="27" t="inlineStr">
        <is>
          <t>Win</t>
        </is>
      </c>
      <c r="H223" s="65" t="inlineStr">
        <is>
          <t>30_56050134_NDXUSD_sell_M15_close_2026-07-29-190326.png</t>
        </is>
      </c>
      <c r="I223" s="23" t="inlineStr">
        <is>
          <t>3214929/NDXUSD/2026-07-29_56050134_NDXUSD_sell_win</t>
        </is>
      </c>
    </row>
    <row r="224">
      <c r="A224" s="24" t="n">
        <v>25</v>
      </c>
      <c r="B224" s="26" t="n">
        <v>56050134</v>
      </c>
      <c r="C224" s="27" t="inlineStr">
        <is>
          <t>NDXUSD</t>
        </is>
      </c>
      <c r="D224" s="27" t="inlineStr">
        <is>
          <t>sell</t>
        </is>
      </c>
      <c r="E224" s="27" t="inlineStr">
        <is>
          <t>M15</t>
        </is>
      </c>
      <c r="F224" s="27" t="inlineStr">
        <is>
          <t>open</t>
        </is>
      </c>
      <c r="G224" s="27" t="inlineStr">
        <is>
          <t>Win</t>
        </is>
      </c>
      <c r="H224" s="65" t="inlineStr">
        <is>
          <t>30_56050134_NDXUSD_sell_M15_open_2026-07-29-185307.png</t>
        </is>
      </c>
      <c r="I224" s="23" t="inlineStr">
        <is>
          <t>3214929/NDXUSD/2026-07-29_56050134_NDXUSD_sell_win</t>
        </is>
      </c>
    </row>
    <row r="225">
      <c r="A225" s="24" t="n">
        <v>25</v>
      </c>
      <c r="B225" s="26" t="n">
        <v>56050134</v>
      </c>
      <c r="C225" s="27" t="inlineStr">
        <is>
          <t>NDXUSD</t>
        </is>
      </c>
      <c r="D225" s="27" t="inlineStr">
        <is>
          <t>sell</t>
        </is>
      </c>
      <c r="E225" s="27" t="inlineStr">
        <is>
          <t>M5</t>
        </is>
      </c>
      <c r="F225" s="27" t="inlineStr">
        <is>
          <t>close</t>
        </is>
      </c>
      <c r="G225" s="27" t="inlineStr">
        <is>
          <t>Win</t>
        </is>
      </c>
      <c r="H225" s="65" t="inlineStr">
        <is>
          <t>40_56050134_NDXUSD_sell_M5_close_2026-07-29-190326.png</t>
        </is>
      </c>
      <c r="I225" s="23" t="inlineStr">
        <is>
          <t>3214929/NDXUSD/2026-07-29_56050134_NDXUSD_sell_win</t>
        </is>
      </c>
    </row>
    <row r="226">
      <c r="A226" s="24" t="n">
        <v>25</v>
      </c>
      <c r="B226" s="26" t="n">
        <v>56050134</v>
      </c>
      <c r="C226" s="27" t="inlineStr">
        <is>
          <t>NDXUSD</t>
        </is>
      </c>
      <c r="D226" s="27" t="inlineStr">
        <is>
          <t>sell</t>
        </is>
      </c>
      <c r="E226" s="27" t="inlineStr">
        <is>
          <t>M5</t>
        </is>
      </c>
      <c r="F226" s="27" t="inlineStr">
        <is>
          <t>open</t>
        </is>
      </c>
      <c r="G226" s="27" t="inlineStr">
        <is>
          <t>Win</t>
        </is>
      </c>
      <c r="H226" s="65" t="inlineStr">
        <is>
          <t>40_56050134_NDXUSD_sell_M5_open_2026-07-29-185307.png</t>
        </is>
      </c>
      <c r="I226" s="23" t="inlineStr">
        <is>
          <t>3214929/NDXUSD/2026-07-29_56050134_NDXUSD_sell_win</t>
        </is>
      </c>
    </row>
    <row r="227">
      <c r="A227" s="24" t="n">
        <v>25</v>
      </c>
      <c r="B227" s="26" t="n">
        <v>56050134</v>
      </c>
      <c r="C227" s="27" t="inlineStr">
        <is>
          <t>NDXUSD</t>
        </is>
      </c>
      <c r="D227" s="27" t="inlineStr">
        <is>
          <t>sell</t>
        </is>
      </c>
      <c r="E227" s="27" t="inlineStr">
        <is>
          <t>M1</t>
        </is>
      </c>
      <c r="F227" s="27" t="inlineStr">
        <is>
          <t>close</t>
        </is>
      </c>
      <c r="G227" s="27" t="inlineStr">
        <is>
          <t>Win</t>
        </is>
      </c>
      <c r="H227" s="65" t="inlineStr">
        <is>
          <t>50_56050134_NDXUSD_sell_M1_close_2026-07-29-190326.png</t>
        </is>
      </c>
      <c r="I227" s="23" t="inlineStr">
        <is>
          <t>3214929/NDXUSD/2026-07-29_56050134_NDXUSD_sell_win</t>
        </is>
      </c>
    </row>
    <row r="228">
      <c r="A228" s="24" t="n">
        <v>25</v>
      </c>
      <c r="B228" s="26" t="n">
        <v>56050134</v>
      </c>
      <c r="C228" s="27" t="inlineStr">
        <is>
          <t>NDXUSD</t>
        </is>
      </c>
      <c r="D228" s="27" t="inlineStr">
        <is>
          <t>sell</t>
        </is>
      </c>
      <c r="E228" s="27" t="inlineStr">
        <is>
          <t>M1</t>
        </is>
      </c>
      <c r="F228" s="27" t="inlineStr">
        <is>
          <t>journey</t>
        </is>
      </c>
      <c r="G228" s="27" t="inlineStr">
        <is>
          <t>Win</t>
        </is>
      </c>
      <c r="H228" s="65" t="inlineStr">
        <is>
          <t>50_56050134_NDXUSD_sell_M1_journey_2026-07-29-185307.png</t>
        </is>
      </c>
      <c r="I228" s="23" t="inlineStr">
        <is>
          <t>3214929/NDXUSD/2026-07-29_56050134_NDXUSD_sell_win</t>
        </is>
      </c>
    </row>
    <row r="229">
      <c r="A229" s="24" t="n">
        <v>25</v>
      </c>
      <c r="B229" s="26" t="n">
        <v>56050134</v>
      </c>
      <c r="C229" s="27" t="inlineStr">
        <is>
          <t>NDXUSD</t>
        </is>
      </c>
      <c r="D229" s="27" t="inlineStr">
        <is>
          <t>sell</t>
        </is>
      </c>
      <c r="E229" s="27" t="inlineStr">
        <is>
          <t>M1</t>
        </is>
      </c>
      <c r="F229" s="27" t="inlineStr">
        <is>
          <t>open</t>
        </is>
      </c>
      <c r="G229" s="27" t="inlineStr">
        <is>
          <t>Win</t>
        </is>
      </c>
      <c r="H229" s="65" t="inlineStr">
        <is>
          <t>50_56050134_NDXUSD_sell_M1_open_2026-07-29-185307.png</t>
        </is>
      </c>
      <c r="I229" s="23" t="inlineStr">
        <is>
          <t>3214929/NDXUSD/2026-07-29_56050134_NDXUSD_sell_win</t>
        </is>
      </c>
    </row>
    <row r="230">
      <c r="A230" s="24" t="n">
        <v>26</v>
      </c>
      <c r="B230" s="26" t="n">
        <v>56052315</v>
      </c>
      <c r="C230" s="27" t="inlineStr">
        <is>
          <t>DAXEUR</t>
        </is>
      </c>
      <c r="D230" s="27" t="inlineStr">
        <is>
          <t>sell</t>
        </is>
      </c>
      <c r="E230" s="27" t="inlineStr">
        <is>
          <t>H4</t>
        </is>
      </c>
      <c r="F230" s="27" t="inlineStr">
        <is>
          <t>close</t>
        </is>
      </c>
      <c r="G230" s="27" t="inlineStr">
        <is>
          <t>Win</t>
        </is>
      </c>
      <c r="H230" s="65" t="inlineStr">
        <is>
          <t>10_56052315_DAXEUR_sell_H4_close_2026-07-29-190703.png</t>
        </is>
      </c>
      <c r="I230" s="23" t="inlineStr">
        <is>
          <t>3214929/DAXEUR/2026-07-29_56052315_DAXEUR_sell_win</t>
        </is>
      </c>
    </row>
    <row r="231">
      <c r="A231" s="24" t="n">
        <v>26</v>
      </c>
      <c r="B231" s="26" t="n">
        <v>56052315</v>
      </c>
      <c r="C231" s="27" t="inlineStr">
        <is>
          <t>DAXEUR</t>
        </is>
      </c>
      <c r="D231" s="27" t="inlineStr">
        <is>
          <t>sell</t>
        </is>
      </c>
      <c r="E231" s="27" t="inlineStr">
        <is>
          <t>H1</t>
        </is>
      </c>
      <c r="F231" s="27" t="inlineStr">
        <is>
          <t>close</t>
        </is>
      </c>
      <c r="G231" s="27" t="inlineStr">
        <is>
          <t>Win</t>
        </is>
      </c>
      <c r="H231" s="65" t="inlineStr">
        <is>
          <t>20_56052315_DAXEUR_sell_H1_close_2026-07-29-190703.png</t>
        </is>
      </c>
      <c r="I231" s="23" t="inlineStr">
        <is>
          <t>3214929/DAXEUR/2026-07-29_56052315_DAXEUR_sell_win</t>
        </is>
      </c>
    </row>
    <row r="232">
      <c r="A232" s="24" t="n">
        <v>26</v>
      </c>
      <c r="B232" s="26" t="n">
        <v>56052315</v>
      </c>
      <c r="C232" s="27" t="inlineStr">
        <is>
          <t>DAXEUR</t>
        </is>
      </c>
      <c r="D232" s="27" t="inlineStr">
        <is>
          <t>sell</t>
        </is>
      </c>
      <c r="E232" s="27" t="inlineStr">
        <is>
          <t>M15</t>
        </is>
      </c>
      <c r="F232" s="27" t="inlineStr">
        <is>
          <t>close</t>
        </is>
      </c>
      <c r="G232" s="27" t="inlineStr">
        <is>
          <t>Win</t>
        </is>
      </c>
      <c r="H232" s="65" t="inlineStr">
        <is>
          <t>30_56052315_DAXEUR_sell_M15_close_2026-07-29-190703.png</t>
        </is>
      </c>
      <c r="I232" s="23" t="inlineStr">
        <is>
          <t>3214929/DAXEUR/2026-07-29_56052315_DAXEUR_sell_win</t>
        </is>
      </c>
    </row>
    <row r="233">
      <c r="A233" s="24" t="n">
        <v>26</v>
      </c>
      <c r="B233" s="26" t="n">
        <v>56052315</v>
      </c>
      <c r="C233" s="27" t="inlineStr">
        <is>
          <t>DAXEUR</t>
        </is>
      </c>
      <c r="D233" s="27" t="inlineStr">
        <is>
          <t>sell</t>
        </is>
      </c>
      <c r="E233" s="27" t="inlineStr">
        <is>
          <t>M15</t>
        </is>
      </c>
      <c r="F233" s="27" t="inlineStr">
        <is>
          <t>open</t>
        </is>
      </c>
      <c r="G233" s="27" t="inlineStr">
        <is>
          <t>Win</t>
        </is>
      </c>
      <c r="H233" s="65" t="inlineStr">
        <is>
          <t>30_56052315_DAXEUR_sell_M15_open_2026-07-29-185819.png</t>
        </is>
      </c>
      <c r="I233" s="23" t="inlineStr">
        <is>
          <t>3214929/DAXEUR/2026-07-29_56052315_DAXEUR_sell_win</t>
        </is>
      </c>
    </row>
    <row r="234">
      <c r="A234" s="24" t="n">
        <v>26</v>
      </c>
      <c r="B234" s="26" t="n">
        <v>56052315</v>
      </c>
      <c r="C234" s="27" t="inlineStr">
        <is>
          <t>DAXEUR</t>
        </is>
      </c>
      <c r="D234" s="27" t="inlineStr">
        <is>
          <t>sell</t>
        </is>
      </c>
      <c r="E234" s="27" t="inlineStr">
        <is>
          <t>M5</t>
        </is>
      </c>
      <c r="F234" s="27" t="inlineStr">
        <is>
          <t>close</t>
        </is>
      </c>
      <c r="G234" s="27" t="inlineStr">
        <is>
          <t>Win</t>
        </is>
      </c>
      <c r="H234" s="65" t="inlineStr">
        <is>
          <t>40_56052315_DAXEUR_sell_M5_close_2026-07-29-190703.png</t>
        </is>
      </c>
      <c r="I234" s="23" t="inlineStr">
        <is>
          <t>3214929/DAXEUR/2026-07-29_56052315_DAXEUR_sell_win</t>
        </is>
      </c>
    </row>
    <row r="235">
      <c r="A235" s="24" t="n">
        <v>26</v>
      </c>
      <c r="B235" s="26" t="n">
        <v>56052315</v>
      </c>
      <c r="C235" s="27" t="inlineStr">
        <is>
          <t>DAXEUR</t>
        </is>
      </c>
      <c r="D235" s="27" t="inlineStr">
        <is>
          <t>sell</t>
        </is>
      </c>
      <c r="E235" s="27" t="inlineStr">
        <is>
          <t>M5</t>
        </is>
      </c>
      <c r="F235" s="27" t="inlineStr">
        <is>
          <t>open</t>
        </is>
      </c>
      <c r="G235" s="27" t="inlineStr">
        <is>
          <t>Win</t>
        </is>
      </c>
      <c r="H235" s="65" t="inlineStr">
        <is>
          <t>40_56052315_DAXEUR_sell_M5_open_2026-07-29-185819.png</t>
        </is>
      </c>
      <c r="I235" s="23" t="inlineStr">
        <is>
          <t>3214929/DAXEUR/2026-07-29_56052315_DAXEUR_sell_win</t>
        </is>
      </c>
    </row>
    <row r="236">
      <c r="A236" s="24" t="n">
        <v>26</v>
      </c>
      <c r="B236" s="26" t="n">
        <v>56052315</v>
      </c>
      <c r="C236" s="27" t="inlineStr">
        <is>
          <t>DAXEUR</t>
        </is>
      </c>
      <c r="D236" s="27" t="inlineStr">
        <is>
          <t>sell</t>
        </is>
      </c>
      <c r="E236" s="27" t="inlineStr">
        <is>
          <t>M1</t>
        </is>
      </c>
      <c r="F236" s="27" t="inlineStr">
        <is>
          <t>close</t>
        </is>
      </c>
      <c r="G236" s="27" t="inlineStr">
        <is>
          <t>Win</t>
        </is>
      </c>
      <c r="H236" s="65" t="inlineStr">
        <is>
          <t>50_56052315_DAXEUR_sell_M1_close_2026-07-29-190703.png</t>
        </is>
      </c>
      <c r="I236" s="23" t="inlineStr">
        <is>
          <t>3214929/DAXEUR/2026-07-29_56052315_DAXEUR_sell_win</t>
        </is>
      </c>
    </row>
    <row r="237">
      <c r="A237" s="24" t="n">
        <v>26</v>
      </c>
      <c r="B237" s="26" t="n">
        <v>56052315</v>
      </c>
      <c r="C237" s="27" t="inlineStr">
        <is>
          <t>DAXEUR</t>
        </is>
      </c>
      <c r="D237" s="27" t="inlineStr">
        <is>
          <t>sell</t>
        </is>
      </c>
      <c r="E237" s="27" t="inlineStr">
        <is>
          <t>M1</t>
        </is>
      </c>
      <c r="F237" s="27" t="inlineStr">
        <is>
          <t>journey</t>
        </is>
      </c>
      <c r="G237" s="27" t="inlineStr">
        <is>
          <t>Win</t>
        </is>
      </c>
      <c r="H237" s="65" t="inlineStr">
        <is>
          <t>50_56052315_DAXEUR_sell_M1_journey_2026-07-29-185819.png</t>
        </is>
      </c>
      <c r="I237" s="23" t="inlineStr">
        <is>
          <t>3214929/DAXEUR/2026-07-29_56052315_DAXEUR_sell_win</t>
        </is>
      </c>
    </row>
    <row r="238">
      <c r="A238" s="24" t="n">
        <v>26</v>
      </c>
      <c r="B238" s="26" t="n">
        <v>56052315</v>
      </c>
      <c r="C238" s="27" t="inlineStr">
        <is>
          <t>DAXEUR</t>
        </is>
      </c>
      <c r="D238" s="27" t="inlineStr">
        <is>
          <t>sell</t>
        </is>
      </c>
      <c r="E238" s="27" t="inlineStr">
        <is>
          <t>M1</t>
        </is>
      </c>
      <c r="F238" s="27" t="inlineStr">
        <is>
          <t>open</t>
        </is>
      </c>
      <c r="G238" s="27" t="inlineStr">
        <is>
          <t>Win</t>
        </is>
      </c>
      <c r="H238" s="65" t="inlineStr">
        <is>
          <t>50_56052315_DAXEUR_sell_M1_open_2026-07-29-185819.png</t>
        </is>
      </c>
      <c r="I238" s="23" t="inlineStr">
        <is>
          <t>3214929/DAXEUR/2026-07-29_56052315_DAXEUR_sell_win</t>
        </is>
      </c>
    </row>
    <row r="239">
      <c r="A239" s="24" t="n">
        <v>27</v>
      </c>
      <c r="B239" s="26" t="n">
        <v>56054122</v>
      </c>
      <c r="C239" s="27" t="inlineStr">
        <is>
          <t>NDXUSD</t>
        </is>
      </c>
      <c r="D239" s="27" t="inlineStr">
        <is>
          <t>sell</t>
        </is>
      </c>
      <c r="E239" s="27" t="inlineStr">
        <is>
          <t>H4</t>
        </is>
      </c>
      <c r="F239" s="27" t="inlineStr">
        <is>
          <t>close</t>
        </is>
      </c>
      <c r="G239" s="27" t="inlineStr">
        <is>
          <t>Win</t>
        </is>
      </c>
      <c r="H239" s="65" t="inlineStr">
        <is>
          <t>10_56054122_NDXUSD_sell_H4_close_2026-07-29-192048.png</t>
        </is>
      </c>
      <c r="I239" s="23" t="inlineStr">
        <is>
          <t>3214929/NDXUSD/2026-07-29_56054122_NDXUSD_sell_win</t>
        </is>
      </c>
    </row>
    <row r="240">
      <c r="A240" s="24" t="n">
        <v>27</v>
      </c>
      <c r="B240" s="26" t="n">
        <v>56054122</v>
      </c>
      <c r="C240" s="27" t="inlineStr">
        <is>
          <t>NDXUSD</t>
        </is>
      </c>
      <c r="D240" s="27" t="inlineStr">
        <is>
          <t>sell</t>
        </is>
      </c>
      <c r="E240" s="27" t="inlineStr">
        <is>
          <t>H1</t>
        </is>
      </c>
      <c r="F240" s="27" t="inlineStr">
        <is>
          <t>close</t>
        </is>
      </c>
      <c r="G240" s="27" t="inlineStr">
        <is>
          <t>Win</t>
        </is>
      </c>
      <c r="H240" s="65" t="inlineStr">
        <is>
          <t>20_56054122_NDXUSD_sell_H1_close_2026-07-29-192048.png</t>
        </is>
      </c>
      <c r="I240" s="23" t="inlineStr">
        <is>
          <t>3214929/NDXUSD/2026-07-29_56054122_NDXUSD_sell_win</t>
        </is>
      </c>
    </row>
    <row r="241">
      <c r="A241" s="24" t="n">
        <v>27</v>
      </c>
      <c r="B241" s="26" t="n">
        <v>56054122</v>
      </c>
      <c r="C241" s="27" t="inlineStr">
        <is>
          <t>NDXUSD</t>
        </is>
      </c>
      <c r="D241" s="27" t="inlineStr">
        <is>
          <t>sell</t>
        </is>
      </c>
      <c r="E241" s="27" t="inlineStr">
        <is>
          <t>M15</t>
        </is>
      </c>
      <c r="F241" s="27" t="inlineStr">
        <is>
          <t>close</t>
        </is>
      </c>
      <c r="G241" s="27" t="inlineStr">
        <is>
          <t>Win</t>
        </is>
      </c>
      <c r="H241" s="65" t="inlineStr">
        <is>
          <t>30_56054122_NDXUSD_sell_M15_close_2026-07-29-192048.png</t>
        </is>
      </c>
      <c r="I241" s="23" t="inlineStr">
        <is>
          <t>3214929/NDXUSD/2026-07-29_56054122_NDXUSD_sell_win</t>
        </is>
      </c>
    </row>
    <row r="242">
      <c r="A242" s="24" t="n">
        <v>27</v>
      </c>
      <c r="B242" s="26" t="n">
        <v>56054122</v>
      </c>
      <c r="C242" s="27" t="inlineStr">
        <is>
          <t>NDXUSD</t>
        </is>
      </c>
      <c r="D242" s="27" t="inlineStr">
        <is>
          <t>sell</t>
        </is>
      </c>
      <c r="E242" s="27" t="inlineStr">
        <is>
          <t>M15</t>
        </is>
      </c>
      <c r="F242" s="27" t="inlineStr">
        <is>
          <t>open</t>
        </is>
      </c>
      <c r="G242" s="27" t="inlineStr">
        <is>
          <t>Win</t>
        </is>
      </c>
      <c r="H242" s="65" t="inlineStr">
        <is>
          <t>30_56054122_NDXUSD_sell_M15_open_2026-07-29-190221.png</t>
        </is>
      </c>
      <c r="I242" s="23" t="inlineStr">
        <is>
          <t>3214929/NDXUSD/2026-07-29_56054122_NDXUSD_sell_win</t>
        </is>
      </c>
    </row>
    <row r="243">
      <c r="A243" s="24" t="n">
        <v>27</v>
      </c>
      <c r="B243" s="26" t="n">
        <v>56054122</v>
      </c>
      <c r="C243" s="27" t="inlineStr">
        <is>
          <t>NDXUSD</t>
        </is>
      </c>
      <c r="D243" s="27" t="inlineStr">
        <is>
          <t>sell</t>
        </is>
      </c>
      <c r="E243" s="27" t="inlineStr">
        <is>
          <t>M5</t>
        </is>
      </c>
      <c r="F243" s="27" t="inlineStr">
        <is>
          <t>close</t>
        </is>
      </c>
      <c r="G243" s="27" t="inlineStr">
        <is>
          <t>Win</t>
        </is>
      </c>
      <c r="H243" s="65" t="inlineStr">
        <is>
          <t>40_56054122_NDXUSD_sell_M5_close_2026-07-29-192048.png</t>
        </is>
      </c>
      <c r="I243" s="23" t="inlineStr">
        <is>
          <t>3214929/NDXUSD/2026-07-29_56054122_NDXUSD_sell_win</t>
        </is>
      </c>
    </row>
    <row r="244">
      <c r="A244" s="24" t="n">
        <v>27</v>
      </c>
      <c r="B244" s="26" t="n">
        <v>56054122</v>
      </c>
      <c r="C244" s="27" t="inlineStr">
        <is>
          <t>NDXUSD</t>
        </is>
      </c>
      <c r="D244" s="27" t="inlineStr">
        <is>
          <t>sell</t>
        </is>
      </c>
      <c r="E244" s="27" t="inlineStr">
        <is>
          <t>M5</t>
        </is>
      </c>
      <c r="F244" s="27" t="inlineStr">
        <is>
          <t>open</t>
        </is>
      </c>
      <c r="G244" s="27" t="inlineStr">
        <is>
          <t>Win</t>
        </is>
      </c>
      <c r="H244" s="65" t="inlineStr">
        <is>
          <t>40_56054122_NDXUSD_sell_M5_open_2026-07-29-190221.png</t>
        </is>
      </c>
      <c r="I244" s="23" t="inlineStr">
        <is>
          <t>3214929/NDXUSD/2026-07-29_56054122_NDXUSD_sell_win</t>
        </is>
      </c>
    </row>
    <row r="245">
      <c r="A245" s="24" t="n">
        <v>27</v>
      </c>
      <c r="B245" s="26" t="n">
        <v>56054122</v>
      </c>
      <c r="C245" s="27" t="inlineStr">
        <is>
          <t>NDXUSD</t>
        </is>
      </c>
      <c r="D245" s="27" t="inlineStr">
        <is>
          <t>sell</t>
        </is>
      </c>
      <c r="E245" s="27" t="inlineStr">
        <is>
          <t>M1</t>
        </is>
      </c>
      <c r="F245" s="27" t="inlineStr">
        <is>
          <t>close</t>
        </is>
      </c>
      <c r="G245" s="27" t="inlineStr">
        <is>
          <t>Win</t>
        </is>
      </c>
      <c r="H245" s="65" t="inlineStr">
        <is>
          <t>50_56054122_NDXUSD_sell_M1_close_2026-07-29-192048.png</t>
        </is>
      </c>
      <c r="I245" s="23" t="inlineStr">
        <is>
          <t>3214929/NDXUSD/2026-07-29_56054122_NDXUSD_sell_win</t>
        </is>
      </c>
    </row>
    <row r="246">
      <c r="A246" s="24" t="n">
        <v>27</v>
      </c>
      <c r="B246" s="26" t="n">
        <v>56054122</v>
      </c>
      <c r="C246" s="27" t="inlineStr">
        <is>
          <t>NDXUSD</t>
        </is>
      </c>
      <c r="D246" s="27" t="inlineStr">
        <is>
          <t>sell</t>
        </is>
      </c>
      <c r="E246" s="27" t="inlineStr">
        <is>
          <t>M1</t>
        </is>
      </c>
      <c r="F246" s="27" t="inlineStr">
        <is>
          <t>journey</t>
        </is>
      </c>
      <c r="G246" s="27" t="inlineStr">
        <is>
          <t>Win</t>
        </is>
      </c>
      <c r="H246" s="65" t="inlineStr">
        <is>
          <t>50_56054122_NDXUSD_sell_M1_journey_2026-07-29-190221.png</t>
        </is>
      </c>
      <c r="I246" s="23" t="inlineStr">
        <is>
          <t>3214929/NDXUSD/2026-07-29_56054122_NDXUSD_sell_win</t>
        </is>
      </c>
    </row>
    <row r="247">
      <c r="A247" s="24" t="n">
        <v>27</v>
      </c>
      <c r="B247" s="26" t="n">
        <v>56054122</v>
      </c>
      <c r="C247" s="27" t="inlineStr">
        <is>
          <t>NDXUSD</t>
        </is>
      </c>
      <c r="D247" s="27" t="inlineStr">
        <is>
          <t>sell</t>
        </is>
      </c>
      <c r="E247" s="27" t="inlineStr">
        <is>
          <t>M1</t>
        </is>
      </c>
      <c r="F247" s="27" t="inlineStr">
        <is>
          <t>open</t>
        </is>
      </c>
      <c r="G247" s="27" t="inlineStr">
        <is>
          <t>Win</t>
        </is>
      </c>
      <c r="H247" s="65" t="inlineStr">
        <is>
          <t>50_56054122_NDXUSD_sell_M1_open_2026-07-29-190221.png</t>
        </is>
      </c>
      <c r="I247" s="23" t="inlineStr">
        <is>
          <t>3214929/NDXUSD/2026-07-29_56054122_NDXUSD_sell_win</t>
        </is>
      </c>
    </row>
    <row r="248">
      <c r="A248" s="24" t="n">
        <v>28</v>
      </c>
      <c r="B248" s="26" t="n">
        <v>56063306</v>
      </c>
      <c r="C248" s="27" t="inlineStr">
        <is>
          <t>NDXUSD</t>
        </is>
      </c>
      <c r="D248" s="27" t="inlineStr">
        <is>
          <t>buy</t>
        </is>
      </c>
      <c r="E248" s="27" t="inlineStr">
        <is>
          <t>H4</t>
        </is>
      </c>
      <c r="F248" s="27" t="inlineStr">
        <is>
          <t>close</t>
        </is>
      </c>
      <c r="G248" s="27" t="inlineStr">
        <is>
          <t>Loss</t>
        </is>
      </c>
      <c r="H248" s="65" t="inlineStr">
        <is>
          <t>10_56063306_NDXUSD_buy_H4_close_2026-07-29-193313.png</t>
        </is>
      </c>
      <c r="I248" s="23" t="inlineStr">
        <is>
          <t>3214929/NDXUSD/2026-07-29_56063306_NDXUSD_buy_loss</t>
        </is>
      </c>
    </row>
    <row r="249">
      <c r="A249" s="24" t="n">
        <v>28</v>
      </c>
      <c r="B249" s="26" t="n">
        <v>56063306</v>
      </c>
      <c r="C249" s="27" t="inlineStr">
        <is>
          <t>NDXUSD</t>
        </is>
      </c>
      <c r="D249" s="27" t="inlineStr">
        <is>
          <t>buy</t>
        </is>
      </c>
      <c r="E249" s="27" t="inlineStr">
        <is>
          <t>H1</t>
        </is>
      </c>
      <c r="F249" s="27" t="inlineStr">
        <is>
          <t>close</t>
        </is>
      </c>
      <c r="G249" s="27" t="inlineStr">
        <is>
          <t>Loss</t>
        </is>
      </c>
      <c r="H249" s="65" t="inlineStr">
        <is>
          <t>20_56063306_NDXUSD_buy_H1_close_2026-07-29-193313.png</t>
        </is>
      </c>
      <c r="I249" s="23" t="inlineStr">
        <is>
          <t>3214929/NDXUSD/2026-07-29_56063306_NDXUSD_buy_loss</t>
        </is>
      </c>
    </row>
    <row r="250">
      <c r="A250" s="24" t="n">
        <v>28</v>
      </c>
      <c r="B250" s="26" t="n">
        <v>56063306</v>
      </c>
      <c r="C250" s="27" t="inlineStr">
        <is>
          <t>NDXUSD</t>
        </is>
      </c>
      <c r="D250" s="27" t="inlineStr">
        <is>
          <t>buy</t>
        </is>
      </c>
      <c r="E250" s="27" t="inlineStr">
        <is>
          <t>M15</t>
        </is>
      </c>
      <c r="F250" s="27" t="inlineStr">
        <is>
          <t>close</t>
        </is>
      </c>
      <c r="G250" s="27" t="inlineStr">
        <is>
          <t>Loss</t>
        </is>
      </c>
      <c r="H250" s="65" t="inlineStr">
        <is>
          <t>30_56063306_NDXUSD_buy_M15_close_2026-07-29-193313.png</t>
        </is>
      </c>
      <c r="I250" s="23" t="inlineStr">
        <is>
          <t>3214929/NDXUSD/2026-07-29_56063306_NDXUSD_buy_loss</t>
        </is>
      </c>
    </row>
    <row r="251">
      <c r="A251" s="24" t="n">
        <v>28</v>
      </c>
      <c r="B251" s="26" t="n">
        <v>56063306</v>
      </c>
      <c r="C251" s="27" t="inlineStr">
        <is>
          <t>NDXUSD</t>
        </is>
      </c>
      <c r="D251" s="27" t="inlineStr">
        <is>
          <t>buy</t>
        </is>
      </c>
      <c r="E251" s="27" t="inlineStr">
        <is>
          <t>M15</t>
        </is>
      </c>
      <c r="F251" s="27" t="inlineStr">
        <is>
          <t>open</t>
        </is>
      </c>
      <c r="G251" s="27" t="inlineStr">
        <is>
          <t>Loss</t>
        </is>
      </c>
      <c r="H251" s="65" t="inlineStr">
        <is>
          <t>30_56063306_NDXUSD_buy_M15_open_2026-07-29-193010.png</t>
        </is>
      </c>
      <c r="I251" s="23" t="inlineStr">
        <is>
          <t>3214929/NDXUSD/2026-07-29_56063306_NDXUSD_buy_loss</t>
        </is>
      </c>
    </row>
    <row r="252">
      <c r="A252" s="24" t="n">
        <v>28</v>
      </c>
      <c r="B252" s="26" t="n">
        <v>56063306</v>
      </c>
      <c r="C252" s="27" t="inlineStr">
        <is>
          <t>NDXUSD</t>
        </is>
      </c>
      <c r="D252" s="27" t="inlineStr">
        <is>
          <t>buy</t>
        </is>
      </c>
      <c r="E252" s="27" t="inlineStr">
        <is>
          <t>M5</t>
        </is>
      </c>
      <c r="F252" s="27" t="inlineStr">
        <is>
          <t>close</t>
        </is>
      </c>
      <c r="G252" s="27" t="inlineStr">
        <is>
          <t>Loss</t>
        </is>
      </c>
      <c r="H252" s="65" t="inlineStr">
        <is>
          <t>40_56063306_NDXUSD_buy_M5_close_2026-07-29-193313.png</t>
        </is>
      </c>
      <c r="I252" s="23" t="inlineStr">
        <is>
          <t>3214929/NDXUSD/2026-07-29_56063306_NDXUSD_buy_loss</t>
        </is>
      </c>
    </row>
    <row r="253">
      <c r="A253" s="24" t="n">
        <v>28</v>
      </c>
      <c r="B253" s="26" t="n">
        <v>56063306</v>
      </c>
      <c r="C253" s="27" t="inlineStr">
        <is>
          <t>NDXUSD</t>
        </is>
      </c>
      <c r="D253" s="27" t="inlineStr">
        <is>
          <t>buy</t>
        </is>
      </c>
      <c r="E253" s="27" t="inlineStr">
        <is>
          <t>M5</t>
        </is>
      </c>
      <c r="F253" s="27" t="inlineStr">
        <is>
          <t>open</t>
        </is>
      </c>
      <c r="G253" s="27" t="inlineStr">
        <is>
          <t>Loss</t>
        </is>
      </c>
      <c r="H253" s="65" t="inlineStr">
        <is>
          <t>40_56063306_NDXUSD_buy_M5_open_2026-07-29-193010.png</t>
        </is>
      </c>
      <c r="I253" s="23" t="inlineStr">
        <is>
          <t>3214929/NDXUSD/2026-07-29_56063306_NDXUSD_buy_loss</t>
        </is>
      </c>
    </row>
    <row r="254">
      <c r="A254" s="24" t="n">
        <v>28</v>
      </c>
      <c r="B254" s="26" t="n">
        <v>56063306</v>
      </c>
      <c r="C254" s="27" t="inlineStr">
        <is>
          <t>NDXUSD</t>
        </is>
      </c>
      <c r="D254" s="27" t="inlineStr">
        <is>
          <t>buy</t>
        </is>
      </c>
      <c r="E254" s="27" t="inlineStr">
        <is>
          <t>M1</t>
        </is>
      </c>
      <c r="F254" s="27" t="inlineStr">
        <is>
          <t>close</t>
        </is>
      </c>
      <c r="G254" s="27" t="inlineStr">
        <is>
          <t>Loss</t>
        </is>
      </c>
      <c r="H254" s="65" t="inlineStr">
        <is>
          <t>50_56063306_NDXUSD_buy_M1_close_2026-07-29-193313.png</t>
        </is>
      </c>
      <c r="I254" s="23" t="inlineStr">
        <is>
          <t>3214929/NDXUSD/2026-07-29_56063306_NDXUSD_buy_loss</t>
        </is>
      </c>
    </row>
    <row r="255">
      <c r="A255" s="24" t="n">
        <v>28</v>
      </c>
      <c r="B255" s="26" t="n">
        <v>56063306</v>
      </c>
      <c r="C255" s="27" t="inlineStr">
        <is>
          <t>NDXUSD</t>
        </is>
      </c>
      <c r="D255" s="27" t="inlineStr">
        <is>
          <t>buy</t>
        </is>
      </c>
      <c r="E255" s="27" t="inlineStr">
        <is>
          <t>M1</t>
        </is>
      </c>
      <c r="F255" s="27" t="inlineStr">
        <is>
          <t>journey</t>
        </is>
      </c>
      <c r="G255" s="27" t="inlineStr">
        <is>
          <t>Loss</t>
        </is>
      </c>
      <c r="H255" s="65" t="inlineStr">
        <is>
          <t>50_56063306_NDXUSD_buy_M1_journey_2026-07-29-193010.png</t>
        </is>
      </c>
      <c r="I255" s="23" t="inlineStr">
        <is>
          <t>3214929/NDXUSD/2026-07-29_56063306_NDXUSD_buy_loss</t>
        </is>
      </c>
    </row>
    <row r="256">
      <c r="A256" s="24" t="n">
        <v>28</v>
      </c>
      <c r="B256" s="26" t="n">
        <v>56063306</v>
      </c>
      <c r="C256" s="27" t="inlineStr">
        <is>
          <t>NDXUSD</t>
        </is>
      </c>
      <c r="D256" s="27" t="inlineStr">
        <is>
          <t>buy</t>
        </is>
      </c>
      <c r="E256" s="27" t="inlineStr">
        <is>
          <t>M1</t>
        </is>
      </c>
      <c r="F256" s="27" t="inlineStr">
        <is>
          <t>open</t>
        </is>
      </c>
      <c r="G256" s="27" t="inlineStr">
        <is>
          <t>Loss</t>
        </is>
      </c>
      <c r="H256" s="65" t="inlineStr">
        <is>
          <t>50_56063306_NDXUSD_buy_M1_open_2026-07-29-193010.png</t>
        </is>
      </c>
      <c r="I256" s="23" t="inlineStr">
        <is>
          <t>3214929/NDXUSD/2026-07-29_56063306_NDXUSD_buy_loss</t>
        </is>
      </c>
    </row>
    <row r="257">
      <c r="A257" s="24" t="n">
        <v>29</v>
      </c>
      <c r="B257" s="26" t="n">
        <v>56066262</v>
      </c>
      <c r="C257" s="27" t="inlineStr">
        <is>
          <t>NDXUSD</t>
        </is>
      </c>
      <c r="D257" s="27" t="inlineStr">
        <is>
          <t>sell</t>
        </is>
      </c>
      <c r="E257" s="27" t="inlineStr">
        <is>
          <t>H4</t>
        </is>
      </c>
      <c r="F257" s="27" t="inlineStr">
        <is>
          <t>close</t>
        </is>
      </c>
      <c r="G257" s="27" t="inlineStr">
        <is>
          <t>Win</t>
        </is>
      </c>
      <c r="H257" s="65" t="inlineStr">
        <is>
          <t>10_56066262_NDXUSD_sell_H4_close_2026-07-29-194008.png</t>
        </is>
      </c>
      <c r="I257" s="23" t="inlineStr">
        <is>
          <t>3214929/NDXUSD/2026-07-29_56066262_NDXUSD_sell_win</t>
        </is>
      </c>
    </row>
    <row r="258">
      <c r="A258" s="24" t="n">
        <v>29</v>
      </c>
      <c r="B258" s="26" t="n">
        <v>56066262</v>
      </c>
      <c r="C258" s="27" t="inlineStr">
        <is>
          <t>NDXUSD</t>
        </is>
      </c>
      <c r="D258" s="27" t="inlineStr">
        <is>
          <t>sell</t>
        </is>
      </c>
      <c r="E258" s="27" t="inlineStr">
        <is>
          <t>H1</t>
        </is>
      </c>
      <c r="F258" s="27" t="inlineStr">
        <is>
          <t>close</t>
        </is>
      </c>
      <c r="G258" s="27" t="inlineStr">
        <is>
          <t>Win</t>
        </is>
      </c>
      <c r="H258" s="65" t="inlineStr">
        <is>
          <t>20_56066262_NDXUSD_sell_H1_close_2026-07-29-194008.png</t>
        </is>
      </c>
      <c r="I258" s="23" t="inlineStr">
        <is>
          <t>3214929/NDXUSD/2026-07-29_56066262_NDXUSD_sell_win</t>
        </is>
      </c>
    </row>
    <row r="259">
      <c r="A259" s="24" t="n">
        <v>29</v>
      </c>
      <c r="B259" s="26" t="n">
        <v>56066262</v>
      </c>
      <c r="C259" s="27" t="inlineStr">
        <is>
          <t>NDXUSD</t>
        </is>
      </c>
      <c r="D259" s="27" t="inlineStr">
        <is>
          <t>sell</t>
        </is>
      </c>
      <c r="E259" s="27" t="inlineStr">
        <is>
          <t>M15</t>
        </is>
      </c>
      <c r="F259" s="27" t="inlineStr">
        <is>
          <t>close</t>
        </is>
      </c>
      <c r="G259" s="27" t="inlineStr">
        <is>
          <t>Win</t>
        </is>
      </c>
      <c r="H259" s="65" t="inlineStr">
        <is>
          <t>30_56066262_NDXUSD_sell_M15_close_2026-07-29-194008.png</t>
        </is>
      </c>
      <c r="I259" s="23" t="inlineStr">
        <is>
          <t>3214929/NDXUSD/2026-07-29_56066262_NDXUSD_sell_win</t>
        </is>
      </c>
    </row>
    <row r="260">
      <c r="A260" s="24" t="n">
        <v>29</v>
      </c>
      <c r="B260" s="26" t="n">
        <v>56066262</v>
      </c>
      <c r="C260" s="27" t="inlineStr">
        <is>
          <t>NDXUSD</t>
        </is>
      </c>
      <c r="D260" s="27" t="inlineStr">
        <is>
          <t>sell</t>
        </is>
      </c>
      <c r="E260" s="27" t="inlineStr">
        <is>
          <t>M15</t>
        </is>
      </c>
      <c r="F260" s="27" t="inlineStr">
        <is>
          <t>open</t>
        </is>
      </c>
      <c r="G260" s="27" t="inlineStr">
        <is>
          <t>Win</t>
        </is>
      </c>
      <c r="H260" s="65" t="inlineStr">
        <is>
          <t>30_56066262_NDXUSD_sell_M15_open_2026-07-29-193803.png</t>
        </is>
      </c>
      <c r="I260" s="23" t="inlineStr">
        <is>
          <t>3214929/NDXUSD/2026-07-29_56066262_NDXUSD_sell_win</t>
        </is>
      </c>
    </row>
    <row r="261">
      <c r="A261" s="24" t="n">
        <v>29</v>
      </c>
      <c r="B261" s="26" t="n">
        <v>56066262</v>
      </c>
      <c r="C261" s="27" t="inlineStr">
        <is>
          <t>NDXUSD</t>
        </is>
      </c>
      <c r="D261" s="27" t="inlineStr">
        <is>
          <t>sell</t>
        </is>
      </c>
      <c r="E261" s="27" t="inlineStr">
        <is>
          <t>M5</t>
        </is>
      </c>
      <c r="F261" s="27" t="inlineStr">
        <is>
          <t>close</t>
        </is>
      </c>
      <c r="G261" s="27" t="inlineStr">
        <is>
          <t>Win</t>
        </is>
      </c>
      <c r="H261" s="65" t="inlineStr">
        <is>
          <t>40_56066262_NDXUSD_sell_M5_close_2026-07-29-194008.png</t>
        </is>
      </c>
      <c r="I261" s="23" t="inlineStr">
        <is>
          <t>3214929/NDXUSD/2026-07-29_56066262_NDXUSD_sell_win</t>
        </is>
      </c>
    </row>
    <row r="262">
      <c r="A262" s="24" t="n">
        <v>29</v>
      </c>
      <c r="B262" s="26" t="n">
        <v>56066262</v>
      </c>
      <c r="C262" s="27" t="inlineStr">
        <is>
          <t>NDXUSD</t>
        </is>
      </c>
      <c r="D262" s="27" t="inlineStr">
        <is>
          <t>sell</t>
        </is>
      </c>
      <c r="E262" s="27" t="inlineStr">
        <is>
          <t>M5</t>
        </is>
      </c>
      <c r="F262" s="27" t="inlineStr">
        <is>
          <t>open</t>
        </is>
      </c>
      <c r="G262" s="27" t="inlineStr">
        <is>
          <t>Win</t>
        </is>
      </c>
      <c r="H262" s="65" t="inlineStr">
        <is>
          <t>40_56066262_NDXUSD_sell_M5_open_2026-07-29-193803.png</t>
        </is>
      </c>
      <c r="I262" s="23" t="inlineStr">
        <is>
          <t>3214929/NDXUSD/2026-07-29_56066262_NDXUSD_sell_win</t>
        </is>
      </c>
    </row>
    <row r="263">
      <c r="A263" s="24" t="n">
        <v>29</v>
      </c>
      <c r="B263" s="26" t="n">
        <v>56066262</v>
      </c>
      <c r="C263" s="27" t="inlineStr">
        <is>
          <t>NDXUSD</t>
        </is>
      </c>
      <c r="D263" s="27" t="inlineStr">
        <is>
          <t>sell</t>
        </is>
      </c>
      <c r="E263" s="27" t="inlineStr">
        <is>
          <t>M1</t>
        </is>
      </c>
      <c r="F263" s="27" t="inlineStr">
        <is>
          <t>close</t>
        </is>
      </c>
      <c r="G263" s="27" t="inlineStr">
        <is>
          <t>Win</t>
        </is>
      </c>
      <c r="H263" s="65" t="inlineStr">
        <is>
          <t>50_56066262_NDXUSD_sell_M1_close_2026-07-29-194008.png</t>
        </is>
      </c>
      <c r="I263" s="23" t="inlineStr">
        <is>
          <t>3214929/NDXUSD/2026-07-29_56066262_NDXUSD_sell_win</t>
        </is>
      </c>
    </row>
    <row r="264">
      <c r="A264" s="24" t="n">
        <v>29</v>
      </c>
      <c r="B264" s="26" t="n">
        <v>56066262</v>
      </c>
      <c r="C264" s="27" t="inlineStr">
        <is>
          <t>NDXUSD</t>
        </is>
      </c>
      <c r="D264" s="27" t="inlineStr">
        <is>
          <t>sell</t>
        </is>
      </c>
      <c r="E264" s="27" t="inlineStr">
        <is>
          <t>M1</t>
        </is>
      </c>
      <c r="F264" s="27" t="inlineStr">
        <is>
          <t>journey</t>
        </is>
      </c>
      <c r="G264" s="27" t="inlineStr">
        <is>
          <t>Win</t>
        </is>
      </c>
      <c r="H264" s="65" t="inlineStr">
        <is>
          <t>50_56066262_NDXUSD_sell_M1_journey_2026-07-29-193803.png</t>
        </is>
      </c>
      <c r="I264" s="23" t="inlineStr">
        <is>
          <t>3214929/NDXUSD/2026-07-29_56066262_NDXUSD_sell_win</t>
        </is>
      </c>
    </row>
    <row r="265">
      <c r="A265" s="24" t="n">
        <v>29</v>
      </c>
      <c r="B265" s="26" t="n">
        <v>56066262</v>
      </c>
      <c r="C265" s="27" t="inlineStr">
        <is>
          <t>NDXUSD</t>
        </is>
      </c>
      <c r="D265" s="27" t="inlineStr">
        <is>
          <t>sell</t>
        </is>
      </c>
      <c r="E265" s="27" t="inlineStr">
        <is>
          <t>M1</t>
        </is>
      </c>
      <c r="F265" s="27" t="inlineStr">
        <is>
          <t>open</t>
        </is>
      </c>
      <c r="G265" s="27" t="inlineStr">
        <is>
          <t>Win</t>
        </is>
      </c>
      <c r="H265" s="65" t="inlineStr">
        <is>
          <t>50_56066262_NDXUSD_sell_M1_open_2026-07-29-193803.png</t>
        </is>
      </c>
      <c r="I265" s="23" t="inlineStr">
        <is>
          <t>3214929/NDXUSD/2026-07-29_56066262_NDXUSD_sell_win</t>
        </is>
      </c>
    </row>
    <row r="266">
      <c r="A266" s="24" t="n">
        <v>30</v>
      </c>
      <c r="B266" s="26" t="n">
        <v>56068541</v>
      </c>
      <c r="C266" s="27" t="inlineStr">
        <is>
          <t>NDXUSD</t>
        </is>
      </c>
      <c r="D266" s="27" t="inlineStr">
        <is>
          <t>buy</t>
        </is>
      </c>
      <c r="E266" s="27" t="inlineStr">
        <is>
          <t>H4</t>
        </is>
      </c>
      <c r="F266" s="27" t="inlineStr">
        <is>
          <t>close</t>
        </is>
      </c>
      <c r="G266" s="27" t="inlineStr">
        <is>
          <t>Loss</t>
        </is>
      </c>
      <c r="H266" s="65" t="inlineStr">
        <is>
          <t>10_56068541_NDXUSD_buy_H4_close_2026-07-29-195503.png</t>
        </is>
      </c>
      <c r="I266" s="23" t="inlineStr">
        <is>
          <t>3214929/NDXUSD/2026-07-29_56068541_NDXUSD_buy_loss</t>
        </is>
      </c>
    </row>
    <row r="267">
      <c r="A267" s="24" t="n">
        <v>30</v>
      </c>
      <c r="B267" s="26" t="n">
        <v>56068541</v>
      </c>
      <c r="C267" s="27" t="inlineStr">
        <is>
          <t>NDXUSD</t>
        </is>
      </c>
      <c r="D267" s="27" t="inlineStr">
        <is>
          <t>buy</t>
        </is>
      </c>
      <c r="E267" s="27" t="inlineStr">
        <is>
          <t>H1</t>
        </is>
      </c>
      <c r="F267" s="27" t="inlineStr">
        <is>
          <t>close</t>
        </is>
      </c>
      <c r="G267" s="27" t="inlineStr">
        <is>
          <t>Loss</t>
        </is>
      </c>
      <c r="H267" s="65" t="inlineStr">
        <is>
          <t>20_56068541_NDXUSD_buy_H1_close_2026-07-29-195503.png</t>
        </is>
      </c>
      <c r="I267" s="23" t="inlineStr">
        <is>
          <t>3214929/NDXUSD/2026-07-29_56068541_NDXUSD_buy_loss</t>
        </is>
      </c>
    </row>
    <row r="268">
      <c r="A268" s="24" t="n">
        <v>30</v>
      </c>
      <c r="B268" s="26" t="n">
        <v>56068541</v>
      </c>
      <c r="C268" s="27" t="inlineStr">
        <is>
          <t>NDXUSD</t>
        </is>
      </c>
      <c r="D268" s="27" t="inlineStr">
        <is>
          <t>buy</t>
        </is>
      </c>
      <c r="E268" s="27" t="inlineStr">
        <is>
          <t>M15</t>
        </is>
      </c>
      <c r="F268" s="27" t="inlineStr">
        <is>
          <t>close</t>
        </is>
      </c>
      <c r="G268" s="27" t="inlineStr">
        <is>
          <t>Loss</t>
        </is>
      </c>
      <c r="H268" s="65" t="inlineStr">
        <is>
          <t>30_56068541_NDXUSD_buy_M15_close_2026-07-29-195503.png</t>
        </is>
      </c>
      <c r="I268" s="23" t="inlineStr">
        <is>
          <t>3214929/NDXUSD/2026-07-29_56068541_NDXUSD_buy_loss</t>
        </is>
      </c>
    </row>
    <row r="269">
      <c r="A269" s="24" t="n">
        <v>30</v>
      </c>
      <c r="B269" s="26" t="n">
        <v>56068541</v>
      </c>
      <c r="C269" s="27" t="inlineStr">
        <is>
          <t>NDXUSD</t>
        </is>
      </c>
      <c r="D269" s="27" t="inlineStr">
        <is>
          <t>buy</t>
        </is>
      </c>
      <c r="E269" s="27" t="inlineStr">
        <is>
          <t>M15</t>
        </is>
      </c>
      <c r="F269" s="27" t="inlineStr">
        <is>
          <t>open</t>
        </is>
      </c>
      <c r="G269" s="27" t="inlineStr">
        <is>
          <t>Loss</t>
        </is>
      </c>
      <c r="H269" s="65" t="inlineStr">
        <is>
          <t>30_56068541_NDXUSD_buy_M15_open_2026-07-29-194749.png</t>
        </is>
      </c>
      <c r="I269" s="23" t="inlineStr">
        <is>
          <t>3214929/NDXUSD/2026-07-29_56068541_NDXUSD_buy_loss</t>
        </is>
      </c>
    </row>
    <row r="270">
      <c r="A270" s="24" t="n">
        <v>30</v>
      </c>
      <c r="B270" s="26" t="n">
        <v>56068541</v>
      </c>
      <c r="C270" s="27" t="inlineStr">
        <is>
          <t>NDXUSD</t>
        </is>
      </c>
      <c r="D270" s="27" t="inlineStr">
        <is>
          <t>buy</t>
        </is>
      </c>
      <c r="E270" s="27" t="inlineStr">
        <is>
          <t>M5</t>
        </is>
      </c>
      <c r="F270" s="27" t="inlineStr">
        <is>
          <t>close</t>
        </is>
      </c>
      <c r="G270" s="27" t="inlineStr">
        <is>
          <t>Loss</t>
        </is>
      </c>
      <c r="H270" s="65" t="inlineStr">
        <is>
          <t>40_56068541_NDXUSD_buy_M5_close_2026-07-29-195503.png</t>
        </is>
      </c>
      <c r="I270" s="23" t="inlineStr">
        <is>
          <t>3214929/NDXUSD/2026-07-29_56068541_NDXUSD_buy_loss</t>
        </is>
      </c>
    </row>
    <row r="271">
      <c r="A271" s="24" t="n">
        <v>30</v>
      </c>
      <c r="B271" s="26" t="n">
        <v>56068541</v>
      </c>
      <c r="C271" s="27" t="inlineStr">
        <is>
          <t>NDXUSD</t>
        </is>
      </c>
      <c r="D271" s="27" t="inlineStr">
        <is>
          <t>buy</t>
        </is>
      </c>
      <c r="E271" s="27" t="inlineStr">
        <is>
          <t>M5</t>
        </is>
      </c>
      <c r="F271" s="27" t="inlineStr">
        <is>
          <t>open</t>
        </is>
      </c>
      <c r="G271" s="27" t="inlineStr">
        <is>
          <t>Loss</t>
        </is>
      </c>
      <c r="H271" s="65" t="inlineStr">
        <is>
          <t>40_56068541_NDXUSD_buy_M5_open_2026-07-29-194749.png</t>
        </is>
      </c>
      <c r="I271" s="23" t="inlineStr">
        <is>
          <t>3214929/NDXUSD/2026-07-29_56068541_NDXUSD_buy_loss</t>
        </is>
      </c>
    </row>
    <row r="272">
      <c r="A272" s="24" t="n">
        <v>30</v>
      </c>
      <c r="B272" s="26" t="n">
        <v>56068541</v>
      </c>
      <c r="C272" s="27" t="inlineStr">
        <is>
          <t>NDXUSD</t>
        </is>
      </c>
      <c r="D272" s="27" t="inlineStr">
        <is>
          <t>buy</t>
        </is>
      </c>
      <c r="E272" s="27" t="inlineStr">
        <is>
          <t>M1</t>
        </is>
      </c>
      <c r="F272" s="27" t="inlineStr">
        <is>
          <t>close</t>
        </is>
      </c>
      <c r="G272" s="27" t="inlineStr">
        <is>
          <t>Loss</t>
        </is>
      </c>
      <c r="H272" s="65" t="inlineStr">
        <is>
          <t>50_56068541_NDXUSD_buy_M1_close_2026-07-29-195503.png</t>
        </is>
      </c>
      <c r="I272" s="23" t="inlineStr">
        <is>
          <t>3214929/NDXUSD/2026-07-29_56068541_NDXUSD_buy_loss</t>
        </is>
      </c>
    </row>
    <row r="273">
      <c r="A273" s="24" t="n">
        <v>30</v>
      </c>
      <c r="B273" s="26" t="n">
        <v>56068541</v>
      </c>
      <c r="C273" s="27" t="inlineStr">
        <is>
          <t>NDXUSD</t>
        </is>
      </c>
      <c r="D273" s="27" t="inlineStr">
        <is>
          <t>buy</t>
        </is>
      </c>
      <c r="E273" s="27" t="inlineStr">
        <is>
          <t>M1</t>
        </is>
      </c>
      <c r="F273" s="27" t="inlineStr">
        <is>
          <t>journey</t>
        </is>
      </c>
      <c r="G273" s="27" t="inlineStr">
        <is>
          <t>Loss</t>
        </is>
      </c>
      <c r="H273" s="65" t="inlineStr">
        <is>
          <t>50_56068541_NDXUSD_buy_M1_journey_2026-07-29-194749.png</t>
        </is>
      </c>
      <c r="I273" s="23" t="inlineStr">
        <is>
          <t>3214929/NDXUSD/2026-07-29_56068541_NDXUSD_buy_loss</t>
        </is>
      </c>
    </row>
    <row r="274">
      <c r="A274" s="24" t="n">
        <v>30</v>
      </c>
      <c r="B274" s="26" t="n">
        <v>56068541</v>
      </c>
      <c r="C274" s="27" t="inlineStr">
        <is>
          <t>NDXUSD</t>
        </is>
      </c>
      <c r="D274" s="27" t="inlineStr">
        <is>
          <t>buy</t>
        </is>
      </c>
      <c r="E274" s="27" t="inlineStr">
        <is>
          <t>M1</t>
        </is>
      </c>
      <c r="F274" s="27" t="inlineStr">
        <is>
          <t>open</t>
        </is>
      </c>
      <c r="G274" s="27" t="inlineStr">
        <is>
          <t>Loss</t>
        </is>
      </c>
      <c r="H274" s="65" t="inlineStr">
        <is>
          <t>50_56068541_NDXUSD_buy_M1_open_2026-07-29-194749.png</t>
        </is>
      </c>
      <c r="I274" s="23" t="inlineStr">
        <is>
          <t>3214929/NDXUSD/2026-07-29_56068541_NDXUSD_buy_loss</t>
        </is>
      </c>
    </row>
    <row r="275">
      <c r="A275" s="24" t="n">
        <v>31</v>
      </c>
      <c r="B275" s="26" t="n">
        <v>56072252</v>
      </c>
      <c r="C275" s="27" t="inlineStr">
        <is>
          <t>DJIUSD</t>
        </is>
      </c>
      <c r="D275" s="27" t="inlineStr">
        <is>
          <t>buy</t>
        </is>
      </c>
      <c r="E275" s="27" t="inlineStr">
        <is>
          <t>H4</t>
        </is>
      </c>
      <c r="F275" s="27" t="inlineStr">
        <is>
          <t>close</t>
        </is>
      </c>
      <c r="G275" s="27" t="inlineStr">
        <is>
          <t>Loss</t>
        </is>
      </c>
      <c r="H275" s="65" t="inlineStr">
        <is>
          <t>10_56072252_DJIUSD_buy_H4_close_2026-07-29-200638.png</t>
        </is>
      </c>
      <c r="I275" s="23" t="inlineStr">
        <is>
          <t>3214929/DJIUSD/2026-07-29_56072252_DJIUSD_buy_loss</t>
        </is>
      </c>
    </row>
    <row r="276">
      <c r="A276" s="24" t="n">
        <v>31</v>
      </c>
      <c r="B276" s="26" t="n">
        <v>56072252</v>
      </c>
      <c r="C276" s="27" t="inlineStr">
        <is>
          <t>DJIUSD</t>
        </is>
      </c>
      <c r="D276" s="27" t="inlineStr">
        <is>
          <t>buy</t>
        </is>
      </c>
      <c r="E276" s="27" t="inlineStr">
        <is>
          <t>H1</t>
        </is>
      </c>
      <c r="F276" s="27" t="inlineStr">
        <is>
          <t>close</t>
        </is>
      </c>
      <c r="G276" s="27" t="inlineStr">
        <is>
          <t>Loss</t>
        </is>
      </c>
      <c r="H276" s="65" t="inlineStr">
        <is>
          <t>20_56072252_DJIUSD_buy_H1_close_2026-07-29-200638.png</t>
        </is>
      </c>
      <c r="I276" s="23" t="inlineStr">
        <is>
          <t>3214929/DJIUSD/2026-07-29_56072252_DJIUSD_buy_loss</t>
        </is>
      </c>
    </row>
    <row r="277">
      <c r="A277" s="24" t="n">
        <v>31</v>
      </c>
      <c r="B277" s="26" t="n">
        <v>56072252</v>
      </c>
      <c r="C277" s="27" t="inlineStr">
        <is>
          <t>DJIUSD</t>
        </is>
      </c>
      <c r="D277" s="27" t="inlineStr">
        <is>
          <t>buy</t>
        </is>
      </c>
      <c r="E277" s="27" t="inlineStr">
        <is>
          <t>M15</t>
        </is>
      </c>
      <c r="F277" s="27" t="inlineStr">
        <is>
          <t>close</t>
        </is>
      </c>
      <c r="G277" s="27" t="inlineStr">
        <is>
          <t>Loss</t>
        </is>
      </c>
      <c r="H277" s="65" t="inlineStr">
        <is>
          <t>30_56072252_DJIUSD_buy_M15_close_2026-07-29-200638.png</t>
        </is>
      </c>
      <c r="I277" s="23" t="inlineStr">
        <is>
          <t>3214929/DJIUSD/2026-07-29_56072252_DJIUSD_buy_loss</t>
        </is>
      </c>
    </row>
    <row r="278">
      <c r="A278" s="24" t="n">
        <v>31</v>
      </c>
      <c r="B278" s="26" t="n">
        <v>56072252</v>
      </c>
      <c r="C278" s="27" t="inlineStr">
        <is>
          <t>DJIUSD</t>
        </is>
      </c>
      <c r="D278" s="27" t="inlineStr">
        <is>
          <t>buy</t>
        </is>
      </c>
      <c r="E278" s="27" t="inlineStr">
        <is>
          <t>M15</t>
        </is>
      </c>
      <c r="F278" s="27" t="inlineStr">
        <is>
          <t>open</t>
        </is>
      </c>
      <c r="G278" s="27" t="inlineStr">
        <is>
          <t>Loss</t>
        </is>
      </c>
      <c r="H278" s="65" t="inlineStr">
        <is>
          <t>30_56072252_DJIUSD_buy_M15_open_2026-07-29-200031.png</t>
        </is>
      </c>
      <c r="I278" s="23" t="inlineStr">
        <is>
          <t>3214929/DJIUSD/2026-07-29_56072252_DJIUSD_buy_loss</t>
        </is>
      </c>
    </row>
    <row r="279">
      <c r="A279" s="24" t="n">
        <v>31</v>
      </c>
      <c r="B279" s="26" t="n">
        <v>56072252</v>
      </c>
      <c r="C279" s="27" t="inlineStr">
        <is>
          <t>DJIUSD</t>
        </is>
      </c>
      <c r="D279" s="27" t="inlineStr">
        <is>
          <t>buy</t>
        </is>
      </c>
      <c r="E279" s="27" t="inlineStr">
        <is>
          <t>M5</t>
        </is>
      </c>
      <c r="F279" s="27" t="inlineStr">
        <is>
          <t>close</t>
        </is>
      </c>
      <c r="G279" s="27" t="inlineStr">
        <is>
          <t>Loss</t>
        </is>
      </c>
      <c r="H279" s="65" t="inlineStr">
        <is>
          <t>40_56072252_DJIUSD_buy_M5_close_2026-07-29-200638.png</t>
        </is>
      </c>
      <c r="I279" s="23" t="inlineStr">
        <is>
          <t>3214929/DJIUSD/2026-07-29_56072252_DJIUSD_buy_loss</t>
        </is>
      </c>
    </row>
    <row r="280">
      <c r="A280" s="24" t="n">
        <v>31</v>
      </c>
      <c r="B280" s="26" t="n">
        <v>56072252</v>
      </c>
      <c r="C280" s="27" t="inlineStr">
        <is>
          <t>DJIUSD</t>
        </is>
      </c>
      <c r="D280" s="27" t="inlineStr">
        <is>
          <t>buy</t>
        </is>
      </c>
      <c r="E280" s="27" t="inlineStr">
        <is>
          <t>M5</t>
        </is>
      </c>
      <c r="F280" s="27" t="inlineStr">
        <is>
          <t>open</t>
        </is>
      </c>
      <c r="G280" s="27" t="inlineStr">
        <is>
          <t>Loss</t>
        </is>
      </c>
      <c r="H280" s="65" t="inlineStr">
        <is>
          <t>40_56072252_DJIUSD_buy_M5_open_2026-07-29-200031.png</t>
        </is>
      </c>
      <c r="I280" s="23" t="inlineStr">
        <is>
          <t>3214929/DJIUSD/2026-07-29_56072252_DJIUSD_buy_loss</t>
        </is>
      </c>
    </row>
    <row r="281">
      <c r="A281" s="24" t="n">
        <v>31</v>
      </c>
      <c r="B281" s="26" t="n">
        <v>56072252</v>
      </c>
      <c r="C281" s="27" t="inlineStr">
        <is>
          <t>DJIUSD</t>
        </is>
      </c>
      <c r="D281" s="27" t="inlineStr">
        <is>
          <t>buy</t>
        </is>
      </c>
      <c r="E281" s="27" t="inlineStr">
        <is>
          <t>M1</t>
        </is>
      </c>
      <c r="F281" s="27" t="inlineStr">
        <is>
          <t>close</t>
        </is>
      </c>
      <c r="G281" s="27" t="inlineStr">
        <is>
          <t>Loss</t>
        </is>
      </c>
      <c r="H281" s="65" t="inlineStr">
        <is>
          <t>50_56072252_DJIUSD_buy_M1_close_2026-07-29-200638.png</t>
        </is>
      </c>
      <c r="I281" s="23" t="inlineStr">
        <is>
          <t>3214929/DJIUSD/2026-07-29_56072252_DJIUSD_buy_loss</t>
        </is>
      </c>
    </row>
    <row r="282">
      <c r="A282" s="24" t="n">
        <v>31</v>
      </c>
      <c r="B282" s="26" t="n">
        <v>56072252</v>
      </c>
      <c r="C282" s="27" t="inlineStr">
        <is>
          <t>DJIUSD</t>
        </is>
      </c>
      <c r="D282" s="27" t="inlineStr">
        <is>
          <t>buy</t>
        </is>
      </c>
      <c r="E282" s="27" t="inlineStr">
        <is>
          <t>M1</t>
        </is>
      </c>
      <c r="F282" s="27" t="inlineStr">
        <is>
          <t>journey</t>
        </is>
      </c>
      <c r="G282" s="27" t="inlineStr">
        <is>
          <t>Loss</t>
        </is>
      </c>
      <c r="H282" s="65" t="inlineStr">
        <is>
          <t>50_56072252_DJIUSD_buy_M1_journey_2026-07-29-200031.png</t>
        </is>
      </c>
      <c r="I282" s="23" t="inlineStr">
        <is>
          <t>3214929/DJIUSD/2026-07-29_56072252_DJIUSD_buy_loss</t>
        </is>
      </c>
    </row>
    <row r="283">
      <c r="A283" s="24" t="n">
        <v>31</v>
      </c>
      <c r="B283" s="26" t="n">
        <v>56072252</v>
      </c>
      <c r="C283" s="27" t="inlineStr">
        <is>
          <t>DJIUSD</t>
        </is>
      </c>
      <c r="D283" s="27" t="inlineStr">
        <is>
          <t>buy</t>
        </is>
      </c>
      <c r="E283" s="27" t="inlineStr">
        <is>
          <t>M1</t>
        </is>
      </c>
      <c r="F283" s="27" t="inlineStr">
        <is>
          <t>open</t>
        </is>
      </c>
      <c r="G283" s="27" t="inlineStr">
        <is>
          <t>Loss</t>
        </is>
      </c>
      <c r="H283" s="65" t="inlineStr">
        <is>
          <t>50_56072252_DJIUSD_buy_M1_open_2026-07-29-200031.png</t>
        </is>
      </c>
      <c r="I283" s="23" t="inlineStr">
        <is>
          <t>3214929/DJIUSD/2026-07-29_56072252_DJIUSD_buy_loss</t>
        </is>
      </c>
    </row>
    <row r="284">
      <c r="A284" s="24" t="n">
        <v>32</v>
      </c>
      <c r="B284" s="26" t="n">
        <v>56074196</v>
      </c>
      <c r="C284" s="27" t="inlineStr">
        <is>
          <t>NDXUSD</t>
        </is>
      </c>
      <c r="D284" s="27" t="inlineStr">
        <is>
          <t>sell</t>
        </is>
      </c>
      <c r="E284" s="27" t="inlineStr">
        <is>
          <t>H4</t>
        </is>
      </c>
      <c r="F284" s="27" t="inlineStr">
        <is>
          <t>close</t>
        </is>
      </c>
      <c r="G284" s="27" t="inlineStr">
        <is>
          <t>Loss</t>
        </is>
      </c>
      <c r="H284" s="65" t="inlineStr">
        <is>
          <t>10_56074196_NDXUSD_sell_H4_close_2026-07-29-201306.png</t>
        </is>
      </c>
      <c r="I284" s="23" t="inlineStr">
        <is>
          <t>3214929/NDXUSD/2026-07-29_56074196_NDXUSD_sell_loss</t>
        </is>
      </c>
    </row>
    <row r="285">
      <c r="A285" s="24" t="n">
        <v>32</v>
      </c>
      <c r="B285" s="26" t="n">
        <v>56074196</v>
      </c>
      <c r="C285" s="27" t="inlineStr">
        <is>
          <t>NDXUSD</t>
        </is>
      </c>
      <c r="D285" s="27" t="inlineStr">
        <is>
          <t>sell</t>
        </is>
      </c>
      <c r="E285" s="27" t="inlineStr">
        <is>
          <t>H1</t>
        </is>
      </c>
      <c r="F285" s="27" t="inlineStr">
        <is>
          <t>close</t>
        </is>
      </c>
      <c r="G285" s="27" t="inlineStr">
        <is>
          <t>Loss</t>
        </is>
      </c>
      <c r="H285" s="65" t="inlineStr">
        <is>
          <t>20_56074196_NDXUSD_sell_H1_close_2026-07-29-201306.png</t>
        </is>
      </c>
      <c r="I285" s="23" t="inlineStr">
        <is>
          <t>3214929/NDXUSD/2026-07-29_56074196_NDXUSD_sell_loss</t>
        </is>
      </c>
    </row>
    <row r="286">
      <c r="A286" s="24" t="n">
        <v>32</v>
      </c>
      <c r="B286" s="26" t="n">
        <v>56074196</v>
      </c>
      <c r="C286" s="27" t="inlineStr">
        <is>
          <t>NDXUSD</t>
        </is>
      </c>
      <c r="D286" s="27" t="inlineStr">
        <is>
          <t>sell</t>
        </is>
      </c>
      <c r="E286" s="27" t="inlineStr">
        <is>
          <t>M15</t>
        </is>
      </c>
      <c r="F286" s="27" t="inlineStr">
        <is>
          <t>close</t>
        </is>
      </c>
      <c r="G286" s="27" t="inlineStr">
        <is>
          <t>Loss</t>
        </is>
      </c>
      <c r="H286" s="65" t="inlineStr">
        <is>
          <t>30_56074196_NDXUSD_sell_M15_close_2026-07-29-201306.png</t>
        </is>
      </c>
      <c r="I286" s="23" t="inlineStr">
        <is>
          <t>3214929/NDXUSD/2026-07-29_56074196_NDXUSD_sell_loss</t>
        </is>
      </c>
    </row>
    <row r="287">
      <c r="A287" s="24" t="n">
        <v>32</v>
      </c>
      <c r="B287" s="26" t="n">
        <v>56074196</v>
      </c>
      <c r="C287" s="27" t="inlineStr">
        <is>
          <t>NDXUSD</t>
        </is>
      </c>
      <c r="D287" s="27" t="inlineStr">
        <is>
          <t>sell</t>
        </is>
      </c>
      <c r="E287" s="27" t="inlineStr">
        <is>
          <t>M15</t>
        </is>
      </c>
      <c r="F287" s="27" t="inlineStr">
        <is>
          <t>open</t>
        </is>
      </c>
      <c r="G287" s="27" t="inlineStr">
        <is>
          <t>Loss</t>
        </is>
      </c>
      <c r="H287" s="65" t="inlineStr">
        <is>
          <t>30_56074196_NDXUSD_sell_M15_open_2026-07-29-201004.png</t>
        </is>
      </c>
      <c r="I287" s="23" t="inlineStr">
        <is>
          <t>3214929/NDXUSD/2026-07-29_56074196_NDXUSD_sell_loss</t>
        </is>
      </c>
    </row>
    <row r="288">
      <c r="A288" s="24" t="n">
        <v>32</v>
      </c>
      <c r="B288" s="26" t="n">
        <v>56074196</v>
      </c>
      <c r="C288" s="27" t="inlineStr">
        <is>
          <t>NDXUSD</t>
        </is>
      </c>
      <c r="D288" s="27" t="inlineStr">
        <is>
          <t>sell</t>
        </is>
      </c>
      <c r="E288" s="27" t="inlineStr">
        <is>
          <t>M5</t>
        </is>
      </c>
      <c r="F288" s="27" t="inlineStr">
        <is>
          <t>close</t>
        </is>
      </c>
      <c r="G288" s="27" t="inlineStr">
        <is>
          <t>Loss</t>
        </is>
      </c>
      <c r="H288" s="65" t="inlineStr">
        <is>
          <t>40_56074196_NDXUSD_sell_M5_close_2026-07-29-201306.png</t>
        </is>
      </c>
      <c r="I288" s="23" t="inlineStr">
        <is>
          <t>3214929/NDXUSD/2026-07-29_56074196_NDXUSD_sell_loss</t>
        </is>
      </c>
    </row>
    <row r="289">
      <c r="A289" s="24" t="n">
        <v>32</v>
      </c>
      <c r="B289" s="26" t="n">
        <v>56074196</v>
      </c>
      <c r="C289" s="27" t="inlineStr">
        <is>
          <t>NDXUSD</t>
        </is>
      </c>
      <c r="D289" s="27" t="inlineStr">
        <is>
          <t>sell</t>
        </is>
      </c>
      <c r="E289" s="27" t="inlineStr">
        <is>
          <t>M5</t>
        </is>
      </c>
      <c r="F289" s="27" t="inlineStr">
        <is>
          <t>open</t>
        </is>
      </c>
      <c r="G289" s="27" t="inlineStr">
        <is>
          <t>Loss</t>
        </is>
      </c>
      <c r="H289" s="65" t="inlineStr">
        <is>
          <t>40_56074196_NDXUSD_sell_M5_open_2026-07-29-201004.png</t>
        </is>
      </c>
      <c r="I289" s="23" t="inlineStr">
        <is>
          <t>3214929/NDXUSD/2026-07-29_56074196_NDXUSD_sell_loss</t>
        </is>
      </c>
    </row>
    <row r="290">
      <c r="A290" s="24" t="n">
        <v>32</v>
      </c>
      <c r="B290" s="26" t="n">
        <v>56074196</v>
      </c>
      <c r="C290" s="27" t="inlineStr">
        <is>
          <t>NDXUSD</t>
        </is>
      </c>
      <c r="D290" s="27" t="inlineStr">
        <is>
          <t>sell</t>
        </is>
      </c>
      <c r="E290" s="27" t="inlineStr">
        <is>
          <t>M1</t>
        </is>
      </c>
      <c r="F290" s="27" t="inlineStr">
        <is>
          <t>close</t>
        </is>
      </c>
      <c r="G290" s="27" t="inlineStr">
        <is>
          <t>Loss</t>
        </is>
      </c>
      <c r="H290" s="65" t="inlineStr">
        <is>
          <t>50_56074196_NDXUSD_sell_M1_close_2026-07-29-201306.png</t>
        </is>
      </c>
      <c r="I290" s="23" t="inlineStr">
        <is>
          <t>3214929/NDXUSD/2026-07-29_56074196_NDXUSD_sell_loss</t>
        </is>
      </c>
    </row>
    <row r="291">
      <c r="A291" s="24" t="n">
        <v>32</v>
      </c>
      <c r="B291" s="26" t="n">
        <v>56074196</v>
      </c>
      <c r="C291" s="27" t="inlineStr">
        <is>
          <t>NDXUSD</t>
        </is>
      </c>
      <c r="D291" s="27" t="inlineStr">
        <is>
          <t>sell</t>
        </is>
      </c>
      <c r="E291" s="27" t="inlineStr">
        <is>
          <t>M1</t>
        </is>
      </c>
      <c r="F291" s="27" t="inlineStr">
        <is>
          <t>journey</t>
        </is>
      </c>
      <c r="G291" s="27" t="inlineStr">
        <is>
          <t>Loss</t>
        </is>
      </c>
      <c r="H291" s="65" t="inlineStr">
        <is>
          <t>50_56074196_NDXUSD_sell_M1_journey_2026-07-29-201004.png</t>
        </is>
      </c>
      <c r="I291" s="23" t="inlineStr">
        <is>
          <t>3214929/NDXUSD/2026-07-29_56074196_NDXUSD_sell_loss</t>
        </is>
      </c>
    </row>
    <row r="292">
      <c r="A292" s="24" t="n">
        <v>32</v>
      </c>
      <c r="B292" s="26" t="n">
        <v>56074196</v>
      </c>
      <c r="C292" s="27" t="inlineStr">
        <is>
          <t>NDXUSD</t>
        </is>
      </c>
      <c r="D292" s="27" t="inlineStr">
        <is>
          <t>sell</t>
        </is>
      </c>
      <c r="E292" s="27" t="inlineStr">
        <is>
          <t>M1</t>
        </is>
      </c>
      <c r="F292" s="27" t="inlineStr">
        <is>
          <t>open</t>
        </is>
      </c>
      <c r="G292" s="27" t="inlineStr">
        <is>
          <t>Loss</t>
        </is>
      </c>
      <c r="H292" s="65" t="inlineStr">
        <is>
          <t>50_56074196_NDXUSD_sell_M1_open_2026-07-29-201004.png</t>
        </is>
      </c>
      <c r="I292" s="23" t="inlineStr">
        <is>
          <t>3214929/NDXUSD/2026-07-29_56074196_NDXUSD_sell_loss</t>
        </is>
      </c>
    </row>
    <row r="293">
      <c r="A293" s="24" t="n">
        <v>33</v>
      </c>
      <c r="B293" s="26" t="n">
        <v>56075382</v>
      </c>
      <c r="C293" s="27" t="inlineStr">
        <is>
          <t>DJIUSD</t>
        </is>
      </c>
      <c r="D293" s="27" t="inlineStr">
        <is>
          <t>buy</t>
        </is>
      </c>
      <c r="E293" s="27" t="inlineStr">
        <is>
          <t>H4</t>
        </is>
      </c>
      <c r="F293" s="27" t="inlineStr">
        <is>
          <t>close</t>
        </is>
      </c>
      <c r="G293" s="27" t="inlineStr">
        <is>
          <t>Loss</t>
        </is>
      </c>
      <c r="H293" s="65" t="inlineStr">
        <is>
          <t>10_56075382_DJIUSD_buy_H4_close_2026-07-29-202049.png</t>
        </is>
      </c>
      <c r="I293" s="23" t="inlineStr">
        <is>
          <t>3214929/DJIUSD/2026-07-29_56075382_DJIUSD_buy_loss</t>
        </is>
      </c>
    </row>
    <row r="294">
      <c r="A294" s="24" t="n">
        <v>33</v>
      </c>
      <c r="B294" s="26" t="n">
        <v>56075382</v>
      </c>
      <c r="C294" s="27" t="inlineStr">
        <is>
          <t>DJIUSD</t>
        </is>
      </c>
      <c r="D294" s="27" t="inlineStr">
        <is>
          <t>buy</t>
        </is>
      </c>
      <c r="E294" s="27" t="inlineStr">
        <is>
          <t>H1</t>
        </is>
      </c>
      <c r="F294" s="27" t="inlineStr">
        <is>
          <t>close</t>
        </is>
      </c>
      <c r="G294" s="27" t="inlineStr">
        <is>
          <t>Loss</t>
        </is>
      </c>
      <c r="H294" s="65" t="inlineStr">
        <is>
          <t>20_56075382_DJIUSD_buy_H1_close_2026-07-29-202049.png</t>
        </is>
      </c>
      <c r="I294" s="23" t="inlineStr">
        <is>
          <t>3214929/DJIUSD/2026-07-29_56075382_DJIUSD_buy_loss</t>
        </is>
      </c>
    </row>
    <row r="295">
      <c r="A295" s="24" t="n">
        <v>33</v>
      </c>
      <c r="B295" s="26" t="n">
        <v>56075382</v>
      </c>
      <c r="C295" s="27" t="inlineStr">
        <is>
          <t>DJIUSD</t>
        </is>
      </c>
      <c r="D295" s="27" t="inlineStr">
        <is>
          <t>buy</t>
        </is>
      </c>
      <c r="E295" s="27" t="inlineStr">
        <is>
          <t>M15</t>
        </is>
      </c>
      <c r="F295" s="27" t="inlineStr">
        <is>
          <t>close</t>
        </is>
      </c>
      <c r="G295" s="27" t="inlineStr">
        <is>
          <t>Loss</t>
        </is>
      </c>
      <c r="H295" s="65" t="inlineStr">
        <is>
          <t>30_56075382_DJIUSD_buy_M15_close_2026-07-29-202049.png</t>
        </is>
      </c>
      <c r="I295" s="23" t="inlineStr">
        <is>
          <t>3214929/DJIUSD/2026-07-29_56075382_DJIUSD_buy_loss</t>
        </is>
      </c>
    </row>
    <row r="296">
      <c r="A296" s="24" t="n">
        <v>33</v>
      </c>
      <c r="B296" s="26" t="n">
        <v>56075382</v>
      </c>
      <c r="C296" s="27" t="inlineStr">
        <is>
          <t>DJIUSD</t>
        </is>
      </c>
      <c r="D296" s="27" t="inlineStr">
        <is>
          <t>buy</t>
        </is>
      </c>
      <c r="E296" s="27" t="inlineStr">
        <is>
          <t>M15</t>
        </is>
      </c>
      <c r="F296" s="27" t="inlineStr">
        <is>
          <t>open</t>
        </is>
      </c>
      <c r="G296" s="27" t="inlineStr">
        <is>
          <t>Loss</t>
        </is>
      </c>
      <c r="H296" s="65" t="inlineStr">
        <is>
          <t>30_56075382_DJIUSD_buy_M15_open_2026-07-29-201630.png</t>
        </is>
      </c>
      <c r="I296" s="23" t="inlineStr">
        <is>
          <t>3214929/DJIUSD/2026-07-29_56075382_DJIUSD_buy_loss</t>
        </is>
      </c>
    </row>
    <row r="297">
      <c r="A297" s="24" t="n">
        <v>33</v>
      </c>
      <c r="B297" s="26" t="n">
        <v>56075382</v>
      </c>
      <c r="C297" s="27" t="inlineStr">
        <is>
          <t>DJIUSD</t>
        </is>
      </c>
      <c r="D297" s="27" t="inlineStr">
        <is>
          <t>buy</t>
        </is>
      </c>
      <c r="E297" s="27" t="inlineStr">
        <is>
          <t>M5</t>
        </is>
      </c>
      <c r="F297" s="27" t="inlineStr">
        <is>
          <t>close</t>
        </is>
      </c>
      <c r="G297" s="27" t="inlineStr">
        <is>
          <t>Loss</t>
        </is>
      </c>
      <c r="H297" s="65" t="inlineStr">
        <is>
          <t>40_56075382_DJIUSD_buy_M5_close_2026-07-29-202049.png</t>
        </is>
      </c>
      <c r="I297" s="23" t="inlineStr">
        <is>
          <t>3214929/DJIUSD/2026-07-29_56075382_DJIUSD_buy_loss</t>
        </is>
      </c>
    </row>
    <row r="298">
      <c r="A298" s="24" t="n">
        <v>33</v>
      </c>
      <c r="B298" s="26" t="n">
        <v>56075382</v>
      </c>
      <c r="C298" s="27" t="inlineStr">
        <is>
          <t>DJIUSD</t>
        </is>
      </c>
      <c r="D298" s="27" t="inlineStr">
        <is>
          <t>buy</t>
        </is>
      </c>
      <c r="E298" s="27" t="inlineStr">
        <is>
          <t>M5</t>
        </is>
      </c>
      <c r="F298" s="27" t="inlineStr">
        <is>
          <t>open</t>
        </is>
      </c>
      <c r="G298" s="27" t="inlineStr">
        <is>
          <t>Loss</t>
        </is>
      </c>
      <c r="H298" s="65" t="inlineStr">
        <is>
          <t>40_56075382_DJIUSD_buy_M5_open_2026-07-29-201630.png</t>
        </is>
      </c>
      <c r="I298" s="23" t="inlineStr">
        <is>
          <t>3214929/DJIUSD/2026-07-29_56075382_DJIUSD_buy_loss</t>
        </is>
      </c>
    </row>
    <row r="299">
      <c r="A299" s="24" t="n">
        <v>33</v>
      </c>
      <c r="B299" s="26" t="n">
        <v>56075382</v>
      </c>
      <c r="C299" s="27" t="inlineStr">
        <is>
          <t>DJIUSD</t>
        </is>
      </c>
      <c r="D299" s="27" t="inlineStr">
        <is>
          <t>buy</t>
        </is>
      </c>
      <c r="E299" s="27" t="inlineStr">
        <is>
          <t>M1</t>
        </is>
      </c>
      <c r="F299" s="27" t="inlineStr">
        <is>
          <t>close</t>
        </is>
      </c>
      <c r="G299" s="27" t="inlineStr">
        <is>
          <t>Loss</t>
        </is>
      </c>
      <c r="H299" s="65" t="inlineStr">
        <is>
          <t>50_56075382_DJIUSD_buy_M1_close_2026-07-29-202049.png</t>
        </is>
      </c>
      <c r="I299" s="23" t="inlineStr">
        <is>
          <t>3214929/DJIUSD/2026-07-29_56075382_DJIUSD_buy_loss</t>
        </is>
      </c>
    </row>
    <row r="300">
      <c r="A300" s="24" t="n">
        <v>33</v>
      </c>
      <c r="B300" s="26" t="n">
        <v>56075382</v>
      </c>
      <c r="C300" s="27" t="inlineStr">
        <is>
          <t>DJIUSD</t>
        </is>
      </c>
      <c r="D300" s="27" t="inlineStr">
        <is>
          <t>buy</t>
        </is>
      </c>
      <c r="E300" s="27" t="inlineStr">
        <is>
          <t>M1</t>
        </is>
      </c>
      <c r="F300" s="27" t="inlineStr">
        <is>
          <t>journey</t>
        </is>
      </c>
      <c r="G300" s="27" t="inlineStr">
        <is>
          <t>Loss</t>
        </is>
      </c>
      <c r="H300" s="65" t="inlineStr">
        <is>
          <t>50_56075382_DJIUSD_buy_M1_journey_2026-07-29-201630.png</t>
        </is>
      </c>
      <c r="I300" s="23" t="inlineStr">
        <is>
          <t>3214929/DJIUSD/2026-07-29_56075382_DJIUSD_buy_loss</t>
        </is>
      </c>
    </row>
    <row r="301">
      <c r="A301" s="24" t="n">
        <v>33</v>
      </c>
      <c r="B301" s="26" t="n">
        <v>56075382</v>
      </c>
      <c r="C301" s="27" t="inlineStr">
        <is>
          <t>DJIUSD</t>
        </is>
      </c>
      <c r="D301" s="27" t="inlineStr">
        <is>
          <t>buy</t>
        </is>
      </c>
      <c r="E301" s="27" t="inlineStr">
        <is>
          <t>M1</t>
        </is>
      </c>
      <c r="F301" s="27" t="inlineStr">
        <is>
          <t>open</t>
        </is>
      </c>
      <c r="G301" s="27" t="inlineStr">
        <is>
          <t>Loss</t>
        </is>
      </c>
      <c r="H301" s="65" t="inlineStr">
        <is>
          <t>50_56075382_DJIUSD_buy_M1_open_2026-07-29-201630.png</t>
        </is>
      </c>
      <c r="I301" s="23" t="inlineStr">
        <is>
          <t>3214929/DJIUSD/2026-07-29_56075382_DJIUSD_buy_loss</t>
        </is>
      </c>
    </row>
    <row r="302">
      <c r="A302" s="24" t="n">
        <v>34</v>
      </c>
      <c r="B302" s="26" t="n">
        <v>56075287</v>
      </c>
      <c r="C302" s="27" t="inlineStr">
        <is>
          <t>DJIUSD</t>
        </is>
      </c>
      <c r="D302" s="27" t="inlineStr">
        <is>
          <t>buy</t>
        </is>
      </c>
      <c r="E302" s="27" t="inlineStr">
        <is>
          <t>H4</t>
        </is>
      </c>
      <c r="F302" s="27" t="inlineStr">
        <is>
          <t>close</t>
        </is>
      </c>
      <c r="G302" s="27" t="inlineStr">
        <is>
          <t>Win</t>
        </is>
      </c>
      <c r="H302" s="65" t="inlineStr">
        <is>
          <t>10_56075287_DJIUSD_buy_H4_close_2026-07-29-202049.png</t>
        </is>
      </c>
      <c r="I302" s="23" t="inlineStr">
        <is>
          <t>3214929/DJIUSD/2026-07-29_56075287_DJIUSD_buy_win</t>
        </is>
      </c>
    </row>
    <row r="303">
      <c r="A303" s="24" t="n">
        <v>34</v>
      </c>
      <c r="B303" s="26" t="n">
        <v>56075287</v>
      </c>
      <c r="C303" s="27" t="inlineStr">
        <is>
          <t>DJIUSD</t>
        </is>
      </c>
      <c r="D303" s="27" t="inlineStr">
        <is>
          <t>buy</t>
        </is>
      </c>
      <c r="E303" s="27" t="inlineStr">
        <is>
          <t>H1</t>
        </is>
      </c>
      <c r="F303" s="27" t="inlineStr">
        <is>
          <t>close</t>
        </is>
      </c>
      <c r="G303" s="27" t="inlineStr">
        <is>
          <t>Win</t>
        </is>
      </c>
      <c r="H303" s="65" t="inlineStr">
        <is>
          <t>20_56075287_DJIUSD_buy_H1_close_2026-07-29-202049.png</t>
        </is>
      </c>
      <c r="I303" s="23" t="inlineStr">
        <is>
          <t>3214929/DJIUSD/2026-07-29_56075287_DJIUSD_buy_win</t>
        </is>
      </c>
    </row>
    <row r="304">
      <c r="A304" s="24" t="n">
        <v>34</v>
      </c>
      <c r="B304" s="26" t="n">
        <v>56075287</v>
      </c>
      <c r="C304" s="27" t="inlineStr">
        <is>
          <t>DJIUSD</t>
        </is>
      </c>
      <c r="D304" s="27" t="inlineStr">
        <is>
          <t>buy</t>
        </is>
      </c>
      <c r="E304" s="27" t="inlineStr">
        <is>
          <t>M15</t>
        </is>
      </c>
      <c r="F304" s="27" t="inlineStr">
        <is>
          <t>close</t>
        </is>
      </c>
      <c r="G304" s="27" t="inlineStr">
        <is>
          <t>Win</t>
        </is>
      </c>
      <c r="H304" s="65" t="inlineStr">
        <is>
          <t>30_56075287_DJIUSD_buy_M15_close_2026-07-29-202049.png</t>
        </is>
      </c>
      <c r="I304" s="23" t="inlineStr">
        <is>
          <t>3214929/DJIUSD/2026-07-29_56075287_DJIUSD_buy_win</t>
        </is>
      </c>
    </row>
    <row r="305">
      <c r="A305" s="24" t="n">
        <v>34</v>
      </c>
      <c r="B305" s="26" t="n">
        <v>56075287</v>
      </c>
      <c r="C305" s="27" t="inlineStr">
        <is>
          <t>DJIUSD</t>
        </is>
      </c>
      <c r="D305" s="27" t="inlineStr">
        <is>
          <t>buy</t>
        </is>
      </c>
      <c r="E305" s="27" t="inlineStr">
        <is>
          <t>M15</t>
        </is>
      </c>
      <c r="F305" s="27" t="inlineStr">
        <is>
          <t>open</t>
        </is>
      </c>
      <c r="G305" s="27" t="inlineStr">
        <is>
          <t>Win</t>
        </is>
      </c>
      <c r="H305" s="65" t="inlineStr">
        <is>
          <t>30_56075287_DJIUSD_buy_M15_open_2026-07-29-201535.png</t>
        </is>
      </c>
      <c r="I305" s="23" t="inlineStr">
        <is>
          <t>3214929/DJIUSD/2026-07-29_56075287_DJIUSD_buy_win</t>
        </is>
      </c>
    </row>
    <row r="306">
      <c r="A306" s="24" t="n">
        <v>34</v>
      </c>
      <c r="B306" s="26" t="n">
        <v>56075287</v>
      </c>
      <c r="C306" s="27" t="inlineStr">
        <is>
          <t>DJIUSD</t>
        </is>
      </c>
      <c r="D306" s="27" t="inlineStr">
        <is>
          <t>buy</t>
        </is>
      </c>
      <c r="E306" s="27" t="inlineStr">
        <is>
          <t>M5</t>
        </is>
      </c>
      <c r="F306" s="27" t="inlineStr">
        <is>
          <t>close</t>
        </is>
      </c>
      <c r="G306" s="27" t="inlineStr">
        <is>
          <t>Win</t>
        </is>
      </c>
      <c r="H306" s="65" t="inlineStr">
        <is>
          <t>40_56075287_DJIUSD_buy_M5_close_2026-07-29-202049.png</t>
        </is>
      </c>
      <c r="I306" s="23" t="inlineStr">
        <is>
          <t>3214929/DJIUSD/2026-07-29_56075287_DJIUSD_buy_win</t>
        </is>
      </c>
    </row>
    <row r="307">
      <c r="A307" s="24" t="n">
        <v>34</v>
      </c>
      <c r="B307" s="26" t="n">
        <v>56075287</v>
      </c>
      <c r="C307" s="27" t="inlineStr">
        <is>
          <t>DJIUSD</t>
        </is>
      </c>
      <c r="D307" s="27" t="inlineStr">
        <is>
          <t>buy</t>
        </is>
      </c>
      <c r="E307" s="27" t="inlineStr">
        <is>
          <t>M5</t>
        </is>
      </c>
      <c r="F307" s="27" t="inlineStr">
        <is>
          <t>open</t>
        </is>
      </c>
      <c r="G307" s="27" t="inlineStr">
        <is>
          <t>Win</t>
        </is>
      </c>
      <c r="H307" s="65" t="inlineStr">
        <is>
          <t>40_56075287_DJIUSD_buy_M5_open_2026-07-29-201535.png</t>
        </is>
      </c>
      <c r="I307" s="23" t="inlineStr">
        <is>
          <t>3214929/DJIUSD/2026-07-29_56075287_DJIUSD_buy_win</t>
        </is>
      </c>
    </row>
    <row r="308">
      <c r="A308" s="24" t="n">
        <v>34</v>
      </c>
      <c r="B308" s="26" t="n">
        <v>56075287</v>
      </c>
      <c r="C308" s="27" t="inlineStr">
        <is>
          <t>DJIUSD</t>
        </is>
      </c>
      <c r="D308" s="27" t="inlineStr">
        <is>
          <t>buy</t>
        </is>
      </c>
      <c r="E308" s="27" t="inlineStr">
        <is>
          <t>M1</t>
        </is>
      </c>
      <c r="F308" s="27" t="inlineStr">
        <is>
          <t>close</t>
        </is>
      </c>
      <c r="G308" s="27" t="inlineStr">
        <is>
          <t>Win</t>
        </is>
      </c>
      <c r="H308" s="65" t="inlineStr">
        <is>
          <t>50_56075287_DJIUSD_buy_M1_close_2026-07-29-202049.png</t>
        </is>
      </c>
      <c r="I308" s="23" t="inlineStr">
        <is>
          <t>3214929/DJIUSD/2026-07-29_56075287_DJIUSD_buy_win</t>
        </is>
      </c>
    </row>
    <row r="309">
      <c r="A309" s="24" t="n">
        <v>34</v>
      </c>
      <c r="B309" s="26" t="n">
        <v>56075287</v>
      </c>
      <c r="C309" s="27" t="inlineStr">
        <is>
          <t>DJIUSD</t>
        </is>
      </c>
      <c r="D309" s="27" t="inlineStr">
        <is>
          <t>buy</t>
        </is>
      </c>
      <c r="E309" s="27" t="inlineStr">
        <is>
          <t>M1</t>
        </is>
      </c>
      <c r="F309" s="27" t="inlineStr">
        <is>
          <t>journey</t>
        </is>
      </c>
      <c r="G309" s="27" t="inlineStr">
        <is>
          <t>Win</t>
        </is>
      </c>
      <c r="H309" s="65" t="inlineStr">
        <is>
          <t>50_56075287_DJIUSD_buy_M1_journey_2026-07-29-201535.png</t>
        </is>
      </c>
      <c r="I309" s="23" t="inlineStr">
        <is>
          <t>3214929/DJIUSD/2026-07-29_56075287_DJIUSD_buy_win</t>
        </is>
      </c>
    </row>
    <row r="310">
      <c r="A310" s="24" t="n">
        <v>34</v>
      </c>
      <c r="B310" s="26" t="n">
        <v>56075287</v>
      </c>
      <c r="C310" s="27" t="inlineStr">
        <is>
          <t>DJIUSD</t>
        </is>
      </c>
      <c r="D310" s="27" t="inlineStr">
        <is>
          <t>buy</t>
        </is>
      </c>
      <c r="E310" s="27" t="inlineStr">
        <is>
          <t>M1</t>
        </is>
      </c>
      <c r="F310" s="27" t="inlineStr">
        <is>
          <t>open</t>
        </is>
      </c>
      <c r="G310" s="27" t="inlineStr">
        <is>
          <t>Win</t>
        </is>
      </c>
      <c r="H310" s="65" t="inlineStr">
        <is>
          <t>50_56075287_DJIUSD_buy_M1_open_2026-07-29-201535.png</t>
        </is>
      </c>
      <c r="I310" s="23" t="inlineStr">
        <is>
          <t>3214929/DJIUSD/2026-07-29_56075287_DJIUSD_buy_win</t>
        </is>
      </c>
    </row>
    <row r="311">
      <c r="A311" s="24" t="n">
        <v>35</v>
      </c>
      <c r="B311" s="26" t="n">
        <v>56076347</v>
      </c>
      <c r="C311" s="27" t="inlineStr">
        <is>
          <t>DAXEUR</t>
        </is>
      </c>
      <c r="D311" s="27" t="inlineStr">
        <is>
          <t>sell</t>
        </is>
      </c>
      <c r="E311" s="27" t="inlineStr">
        <is>
          <t>H4</t>
        </is>
      </c>
      <c r="F311" s="27" t="inlineStr">
        <is>
          <t>close</t>
        </is>
      </c>
      <c r="G311" s="27" t="inlineStr">
        <is>
          <t>Loss</t>
        </is>
      </c>
      <c r="H311" s="65" t="inlineStr">
        <is>
          <t>10_56076347_DAXEUR_sell_H4_close_2026-07-29-203509.png</t>
        </is>
      </c>
      <c r="I311" s="23" t="inlineStr">
        <is>
          <t>3214929/DAXEUR/2026-07-29_56076347_DAXEUR_sell_loss</t>
        </is>
      </c>
    </row>
    <row r="312">
      <c r="A312" s="24" t="n">
        <v>35</v>
      </c>
      <c r="B312" s="26" t="n">
        <v>56076347</v>
      </c>
      <c r="C312" s="27" t="inlineStr">
        <is>
          <t>DAXEUR</t>
        </is>
      </c>
      <c r="D312" s="27" t="inlineStr">
        <is>
          <t>sell</t>
        </is>
      </c>
      <c r="E312" s="27" t="inlineStr">
        <is>
          <t>H1</t>
        </is>
      </c>
      <c r="F312" s="27" t="inlineStr">
        <is>
          <t>close</t>
        </is>
      </c>
      <c r="G312" s="27" t="inlineStr">
        <is>
          <t>Loss</t>
        </is>
      </c>
      <c r="H312" s="65" t="inlineStr">
        <is>
          <t>20_56076347_DAXEUR_sell_H1_close_2026-07-29-203509.png</t>
        </is>
      </c>
      <c r="I312" s="23" t="inlineStr">
        <is>
          <t>3214929/DAXEUR/2026-07-29_56076347_DAXEUR_sell_loss</t>
        </is>
      </c>
    </row>
    <row r="313">
      <c r="A313" s="24" t="n">
        <v>35</v>
      </c>
      <c r="B313" s="26" t="n">
        <v>56076347</v>
      </c>
      <c r="C313" s="27" t="inlineStr">
        <is>
          <t>DAXEUR</t>
        </is>
      </c>
      <c r="D313" s="27" t="inlineStr">
        <is>
          <t>sell</t>
        </is>
      </c>
      <c r="E313" s="27" t="inlineStr">
        <is>
          <t>M15</t>
        </is>
      </c>
      <c r="F313" s="27" t="inlineStr">
        <is>
          <t>close</t>
        </is>
      </c>
      <c r="G313" s="27" t="inlineStr">
        <is>
          <t>Loss</t>
        </is>
      </c>
      <c r="H313" s="65" t="inlineStr">
        <is>
          <t>30_56076347_DAXEUR_sell_M15_close_2026-07-29-203509.png</t>
        </is>
      </c>
      <c r="I313" s="23" t="inlineStr">
        <is>
          <t>3214929/DAXEUR/2026-07-29_56076347_DAXEUR_sell_loss</t>
        </is>
      </c>
    </row>
    <row r="314">
      <c r="A314" s="24" t="n">
        <v>35</v>
      </c>
      <c r="B314" s="26" t="n">
        <v>56076347</v>
      </c>
      <c r="C314" s="27" t="inlineStr">
        <is>
          <t>DAXEUR</t>
        </is>
      </c>
      <c r="D314" s="27" t="inlineStr">
        <is>
          <t>sell</t>
        </is>
      </c>
      <c r="E314" s="27" t="inlineStr">
        <is>
          <t>M15</t>
        </is>
      </c>
      <c r="F314" s="27" t="inlineStr">
        <is>
          <t>open</t>
        </is>
      </c>
      <c r="G314" s="27" t="inlineStr">
        <is>
          <t>Loss</t>
        </is>
      </c>
      <c r="H314" s="65" t="inlineStr">
        <is>
          <t>30_56076347_DAXEUR_sell_M15_open_2026-07-29-202510.png</t>
        </is>
      </c>
      <c r="I314" s="23" t="inlineStr">
        <is>
          <t>3214929/DAXEUR/2026-07-29_56076347_DAXEUR_sell_loss</t>
        </is>
      </c>
    </row>
    <row r="315">
      <c r="A315" s="24" t="n">
        <v>35</v>
      </c>
      <c r="B315" s="26" t="n">
        <v>56076347</v>
      </c>
      <c r="C315" s="27" t="inlineStr">
        <is>
          <t>DAXEUR</t>
        </is>
      </c>
      <c r="D315" s="27" t="inlineStr">
        <is>
          <t>sell</t>
        </is>
      </c>
      <c r="E315" s="27" t="inlineStr">
        <is>
          <t>M5</t>
        </is>
      </c>
      <c r="F315" s="27" t="inlineStr">
        <is>
          <t>close</t>
        </is>
      </c>
      <c r="G315" s="27" t="inlineStr">
        <is>
          <t>Loss</t>
        </is>
      </c>
      <c r="H315" s="65" t="inlineStr">
        <is>
          <t>40_56076347_DAXEUR_sell_M5_close_2026-07-29-203509.png</t>
        </is>
      </c>
      <c r="I315" s="23" t="inlineStr">
        <is>
          <t>3214929/DAXEUR/2026-07-29_56076347_DAXEUR_sell_loss</t>
        </is>
      </c>
    </row>
    <row r="316">
      <c r="A316" s="24" t="n">
        <v>35</v>
      </c>
      <c r="B316" s="26" t="n">
        <v>56076347</v>
      </c>
      <c r="C316" s="27" t="inlineStr">
        <is>
          <t>DAXEUR</t>
        </is>
      </c>
      <c r="D316" s="27" t="inlineStr">
        <is>
          <t>sell</t>
        </is>
      </c>
      <c r="E316" s="27" t="inlineStr">
        <is>
          <t>M5</t>
        </is>
      </c>
      <c r="F316" s="27" t="inlineStr">
        <is>
          <t>open</t>
        </is>
      </c>
      <c r="G316" s="27" t="inlineStr">
        <is>
          <t>Loss</t>
        </is>
      </c>
      <c r="H316" s="65" t="inlineStr">
        <is>
          <t>40_56076347_DAXEUR_sell_M5_open_2026-07-29-202510.png</t>
        </is>
      </c>
      <c r="I316" s="23" t="inlineStr">
        <is>
          <t>3214929/DAXEUR/2026-07-29_56076347_DAXEUR_sell_loss</t>
        </is>
      </c>
    </row>
    <row r="317">
      <c r="A317" s="24" t="n">
        <v>35</v>
      </c>
      <c r="B317" s="26" t="n">
        <v>56076347</v>
      </c>
      <c r="C317" s="27" t="inlineStr">
        <is>
          <t>DAXEUR</t>
        </is>
      </c>
      <c r="D317" s="27" t="inlineStr">
        <is>
          <t>sell</t>
        </is>
      </c>
      <c r="E317" s="27" t="inlineStr">
        <is>
          <t>M1</t>
        </is>
      </c>
      <c r="F317" s="27" t="inlineStr">
        <is>
          <t>close</t>
        </is>
      </c>
      <c r="G317" s="27" t="inlineStr">
        <is>
          <t>Loss</t>
        </is>
      </c>
      <c r="H317" s="65" t="inlineStr">
        <is>
          <t>50_56076347_DAXEUR_sell_M1_close_2026-07-29-203509.png</t>
        </is>
      </c>
      <c r="I317" s="23" t="inlineStr">
        <is>
          <t>3214929/DAXEUR/2026-07-29_56076347_DAXEUR_sell_loss</t>
        </is>
      </c>
    </row>
    <row r="318">
      <c r="A318" s="24" t="n">
        <v>35</v>
      </c>
      <c r="B318" s="26" t="n">
        <v>56076347</v>
      </c>
      <c r="C318" s="27" t="inlineStr">
        <is>
          <t>DAXEUR</t>
        </is>
      </c>
      <c r="D318" s="27" t="inlineStr">
        <is>
          <t>sell</t>
        </is>
      </c>
      <c r="E318" s="27" t="inlineStr">
        <is>
          <t>M1</t>
        </is>
      </c>
      <c r="F318" s="27" t="inlineStr">
        <is>
          <t>journey</t>
        </is>
      </c>
      <c r="G318" s="27" t="inlineStr">
        <is>
          <t>Loss</t>
        </is>
      </c>
      <c r="H318" s="65" t="inlineStr">
        <is>
          <t>50_56076347_DAXEUR_sell_M1_journey_2026-07-29-202510.png</t>
        </is>
      </c>
      <c r="I318" s="23" t="inlineStr">
        <is>
          <t>3214929/DAXEUR/2026-07-29_56076347_DAXEUR_sell_loss</t>
        </is>
      </c>
    </row>
    <row r="319">
      <c r="A319" s="24" t="n">
        <v>35</v>
      </c>
      <c r="B319" s="26" t="n">
        <v>56076347</v>
      </c>
      <c r="C319" s="27" t="inlineStr">
        <is>
          <t>DAXEUR</t>
        </is>
      </c>
      <c r="D319" s="27" t="inlineStr">
        <is>
          <t>sell</t>
        </is>
      </c>
      <c r="E319" s="27" t="inlineStr">
        <is>
          <t>M1</t>
        </is>
      </c>
      <c r="F319" s="27" t="inlineStr">
        <is>
          <t>open</t>
        </is>
      </c>
      <c r="G319" s="27" t="inlineStr">
        <is>
          <t>Loss</t>
        </is>
      </c>
      <c r="H319" s="65" t="inlineStr">
        <is>
          <t>50_56076347_DAXEUR_sell_M1_open_2026-07-29-202510.png</t>
        </is>
      </c>
      <c r="I319" s="23" t="inlineStr">
        <is>
          <t>3214929/DAXEUR/2026-07-29_56076347_DAXEUR_sell_loss</t>
        </is>
      </c>
    </row>
    <row r="320">
      <c r="A320" s="24" t="n">
        <v>36</v>
      </c>
      <c r="B320" s="26" t="n">
        <v>56076852</v>
      </c>
      <c r="C320" s="27" t="inlineStr">
        <is>
          <t>NDXUSD</t>
        </is>
      </c>
      <c r="D320" s="27" t="inlineStr">
        <is>
          <t>sell</t>
        </is>
      </c>
      <c r="E320" s="27" t="inlineStr">
        <is>
          <t>H4</t>
        </is>
      </c>
      <c r="F320" s="27" t="inlineStr">
        <is>
          <t>close</t>
        </is>
      </c>
      <c r="G320" s="27" t="inlineStr">
        <is>
          <t>Loss</t>
        </is>
      </c>
      <c r="H320" s="65" t="inlineStr">
        <is>
          <t>10_56076852_NDXUSD_sell_H4_close_2026-07-29-203935.png</t>
        </is>
      </c>
      <c r="I320" s="23" t="inlineStr">
        <is>
          <t>3214929/NDXUSD/2026-07-29_56076852_NDXUSD_sell_loss</t>
        </is>
      </c>
    </row>
    <row r="321">
      <c r="A321" s="24" t="n">
        <v>36</v>
      </c>
      <c r="B321" s="26" t="n">
        <v>56076852</v>
      </c>
      <c r="C321" s="27" t="inlineStr">
        <is>
          <t>NDXUSD</t>
        </is>
      </c>
      <c r="D321" s="27" t="inlineStr">
        <is>
          <t>sell</t>
        </is>
      </c>
      <c r="E321" s="27" t="inlineStr">
        <is>
          <t>H1</t>
        </is>
      </c>
      <c r="F321" s="27" t="inlineStr">
        <is>
          <t>close</t>
        </is>
      </c>
      <c r="G321" s="27" t="inlineStr">
        <is>
          <t>Loss</t>
        </is>
      </c>
      <c r="H321" s="65" t="inlineStr">
        <is>
          <t>20_56076852_NDXUSD_sell_H1_close_2026-07-29-203935.png</t>
        </is>
      </c>
      <c r="I321" s="23" t="inlineStr">
        <is>
          <t>3214929/NDXUSD/2026-07-29_56076852_NDXUSD_sell_loss</t>
        </is>
      </c>
    </row>
    <row r="322">
      <c r="A322" s="24" t="n">
        <v>36</v>
      </c>
      <c r="B322" s="26" t="n">
        <v>56076852</v>
      </c>
      <c r="C322" s="27" t="inlineStr">
        <is>
          <t>NDXUSD</t>
        </is>
      </c>
      <c r="D322" s="27" t="inlineStr">
        <is>
          <t>sell</t>
        </is>
      </c>
      <c r="E322" s="27" t="inlineStr">
        <is>
          <t>M15</t>
        </is>
      </c>
      <c r="F322" s="27" t="inlineStr">
        <is>
          <t>close</t>
        </is>
      </c>
      <c r="G322" s="27" t="inlineStr">
        <is>
          <t>Loss</t>
        </is>
      </c>
      <c r="H322" s="65" t="inlineStr">
        <is>
          <t>30_56076852_NDXUSD_sell_M15_close_2026-07-29-203935.png</t>
        </is>
      </c>
      <c r="I322" s="23" t="inlineStr">
        <is>
          <t>3214929/NDXUSD/2026-07-29_56076852_NDXUSD_sell_loss</t>
        </is>
      </c>
    </row>
    <row r="323">
      <c r="A323" s="24" t="n">
        <v>36</v>
      </c>
      <c r="B323" s="26" t="n">
        <v>56076852</v>
      </c>
      <c r="C323" s="27" t="inlineStr">
        <is>
          <t>NDXUSD</t>
        </is>
      </c>
      <c r="D323" s="27" t="inlineStr">
        <is>
          <t>sell</t>
        </is>
      </c>
      <c r="E323" s="27" t="inlineStr">
        <is>
          <t>M15</t>
        </is>
      </c>
      <c r="F323" s="27" t="inlineStr">
        <is>
          <t>open</t>
        </is>
      </c>
      <c r="G323" s="27" t="inlineStr">
        <is>
          <t>Loss</t>
        </is>
      </c>
      <c r="H323" s="65" t="inlineStr">
        <is>
          <t>30_56076852_NDXUSD_sell_M15_open_2026-07-29-203210.png</t>
        </is>
      </c>
      <c r="I323" s="23" t="inlineStr">
        <is>
          <t>3214929/NDXUSD/2026-07-29_56076852_NDXUSD_sell_loss</t>
        </is>
      </c>
    </row>
    <row r="324">
      <c r="A324" s="24" t="n">
        <v>36</v>
      </c>
      <c r="B324" s="26" t="n">
        <v>56076852</v>
      </c>
      <c r="C324" s="27" t="inlineStr">
        <is>
          <t>NDXUSD</t>
        </is>
      </c>
      <c r="D324" s="27" t="inlineStr">
        <is>
          <t>sell</t>
        </is>
      </c>
      <c r="E324" s="27" t="inlineStr">
        <is>
          <t>M5</t>
        </is>
      </c>
      <c r="F324" s="27" t="inlineStr">
        <is>
          <t>close</t>
        </is>
      </c>
      <c r="G324" s="27" t="inlineStr">
        <is>
          <t>Loss</t>
        </is>
      </c>
      <c r="H324" s="65" t="inlineStr">
        <is>
          <t>40_56076852_NDXUSD_sell_M5_close_2026-07-29-203935.png</t>
        </is>
      </c>
      <c r="I324" s="23" t="inlineStr">
        <is>
          <t>3214929/NDXUSD/2026-07-29_56076852_NDXUSD_sell_loss</t>
        </is>
      </c>
    </row>
    <row r="325">
      <c r="A325" s="24" t="n">
        <v>36</v>
      </c>
      <c r="B325" s="26" t="n">
        <v>56076852</v>
      </c>
      <c r="C325" s="27" t="inlineStr">
        <is>
          <t>NDXUSD</t>
        </is>
      </c>
      <c r="D325" s="27" t="inlineStr">
        <is>
          <t>sell</t>
        </is>
      </c>
      <c r="E325" s="27" t="inlineStr">
        <is>
          <t>M5</t>
        </is>
      </c>
      <c r="F325" s="27" t="inlineStr">
        <is>
          <t>open</t>
        </is>
      </c>
      <c r="G325" s="27" t="inlineStr">
        <is>
          <t>Loss</t>
        </is>
      </c>
      <c r="H325" s="65" t="inlineStr">
        <is>
          <t>40_56076852_NDXUSD_sell_M5_open_2026-07-29-203210.png</t>
        </is>
      </c>
      <c r="I325" s="23" t="inlineStr">
        <is>
          <t>3214929/NDXUSD/2026-07-29_56076852_NDXUSD_sell_loss</t>
        </is>
      </c>
    </row>
    <row r="326">
      <c r="A326" s="24" t="n">
        <v>36</v>
      </c>
      <c r="B326" s="26" t="n">
        <v>56076852</v>
      </c>
      <c r="C326" s="27" t="inlineStr">
        <is>
          <t>NDXUSD</t>
        </is>
      </c>
      <c r="D326" s="27" t="inlineStr">
        <is>
          <t>sell</t>
        </is>
      </c>
      <c r="E326" s="27" t="inlineStr">
        <is>
          <t>M1</t>
        </is>
      </c>
      <c r="F326" s="27" t="inlineStr">
        <is>
          <t>close</t>
        </is>
      </c>
      <c r="G326" s="27" t="inlineStr">
        <is>
          <t>Loss</t>
        </is>
      </c>
      <c r="H326" s="65" t="inlineStr">
        <is>
          <t>50_56076852_NDXUSD_sell_M1_close_2026-07-29-203935.png</t>
        </is>
      </c>
      <c r="I326" s="23" t="inlineStr">
        <is>
          <t>3214929/NDXUSD/2026-07-29_56076852_NDXUSD_sell_loss</t>
        </is>
      </c>
    </row>
    <row r="327">
      <c r="A327" s="24" t="n">
        <v>36</v>
      </c>
      <c r="B327" s="26" t="n">
        <v>56076852</v>
      </c>
      <c r="C327" s="27" t="inlineStr">
        <is>
          <t>NDXUSD</t>
        </is>
      </c>
      <c r="D327" s="27" t="inlineStr">
        <is>
          <t>sell</t>
        </is>
      </c>
      <c r="E327" s="27" t="inlineStr">
        <is>
          <t>M1</t>
        </is>
      </c>
      <c r="F327" s="27" t="inlineStr">
        <is>
          <t>journey</t>
        </is>
      </c>
      <c r="G327" s="27" t="inlineStr">
        <is>
          <t>Loss</t>
        </is>
      </c>
      <c r="H327" s="65" t="inlineStr">
        <is>
          <t>50_56076852_NDXUSD_sell_M1_journey_2026-07-29-203210.png</t>
        </is>
      </c>
      <c r="I327" s="23" t="inlineStr">
        <is>
          <t>3214929/NDXUSD/2026-07-29_56076852_NDXUSD_sell_loss</t>
        </is>
      </c>
    </row>
    <row r="328">
      <c r="A328" s="24" t="n">
        <v>36</v>
      </c>
      <c r="B328" s="26" t="n">
        <v>56076852</v>
      </c>
      <c r="C328" s="27" t="inlineStr">
        <is>
          <t>NDXUSD</t>
        </is>
      </c>
      <c r="D328" s="27" t="inlineStr">
        <is>
          <t>sell</t>
        </is>
      </c>
      <c r="E328" s="27" t="inlineStr">
        <is>
          <t>M1</t>
        </is>
      </c>
      <c r="F328" s="27" t="inlineStr">
        <is>
          <t>open</t>
        </is>
      </c>
      <c r="G328" s="27" t="inlineStr">
        <is>
          <t>Loss</t>
        </is>
      </c>
      <c r="H328" s="65" t="inlineStr">
        <is>
          <t>50_56076852_NDXUSD_sell_M1_open_2026-07-29-203210.png</t>
        </is>
      </c>
      <c r="I328" s="23" t="inlineStr">
        <is>
          <t>3214929/NDXUSD/2026-07-29_56076852_NDXUSD_sell_loss</t>
        </is>
      </c>
    </row>
    <row r="329">
      <c r="A329" s="24" t="n">
        <v>37</v>
      </c>
      <c r="B329" s="26" t="n">
        <v>56077928</v>
      </c>
      <c r="C329" s="27" t="inlineStr">
        <is>
          <t>NDXUSD</t>
        </is>
      </c>
      <c r="D329" s="27" t="inlineStr">
        <is>
          <t>sell</t>
        </is>
      </c>
      <c r="E329" s="27" t="inlineStr">
        <is>
          <t>H4</t>
        </is>
      </c>
      <c r="F329" s="27" t="inlineStr">
        <is>
          <t>close</t>
        </is>
      </c>
      <c r="G329" s="27" t="inlineStr">
        <is>
          <t>Breakeven</t>
        </is>
      </c>
      <c r="H329" s="65" t="inlineStr">
        <is>
          <t>10_56077928_NDXUSD_sell_H4_close_2026-07-29-205302.png</t>
        </is>
      </c>
      <c r="I329" s="23" t="inlineStr">
        <is>
          <t>3214929/NDXUSD/2026-07-29_56077928_NDXUSD_sell_scratch</t>
        </is>
      </c>
    </row>
    <row r="330">
      <c r="A330" s="24" t="n">
        <v>37</v>
      </c>
      <c r="B330" s="26" t="n">
        <v>56077928</v>
      </c>
      <c r="C330" s="27" t="inlineStr">
        <is>
          <t>NDXUSD</t>
        </is>
      </c>
      <c r="D330" s="27" t="inlineStr">
        <is>
          <t>sell</t>
        </is>
      </c>
      <c r="E330" s="27" t="inlineStr">
        <is>
          <t>H1</t>
        </is>
      </c>
      <c r="F330" s="27" t="inlineStr">
        <is>
          <t>close</t>
        </is>
      </c>
      <c r="G330" s="27" t="inlineStr">
        <is>
          <t>Breakeven</t>
        </is>
      </c>
      <c r="H330" s="65" t="inlineStr">
        <is>
          <t>20_56077928_NDXUSD_sell_H1_close_2026-07-29-205302.png</t>
        </is>
      </c>
      <c r="I330" s="23" t="inlineStr">
        <is>
          <t>3214929/NDXUSD/2026-07-29_56077928_NDXUSD_sell_scratch</t>
        </is>
      </c>
    </row>
    <row r="331">
      <c r="A331" s="24" t="n">
        <v>37</v>
      </c>
      <c r="B331" s="26" t="n">
        <v>56077928</v>
      </c>
      <c r="C331" s="27" t="inlineStr">
        <is>
          <t>NDXUSD</t>
        </is>
      </c>
      <c r="D331" s="27" t="inlineStr">
        <is>
          <t>sell</t>
        </is>
      </c>
      <c r="E331" s="27" t="inlineStr">
        <is>
          <t>M15</t>
        </is>
      </c>
      <c r="F331" s="27" t="inlineStr">
        <is>
          <t>close</t>
        </is>
      </c>
      <c r="G331" s="27" t="inlineStr">
        <is>
          <t>Breakeven</t>
        </is>
      </c>
      <c r="H331" s="65" t="inlineStr">
        <is>
          <t>30_56077928_NDXUSD_sell_M15_close_2026-07-29-205302.png</t>
        </is>
      </c>
      <c r="I331" s="23" t="inlineStr">
        <is>
          <t>3214929/NDXUSD/2026-07-29_56077928_NDXUSD_sell_scratch</t>
        </is>
      </c>
    </row>
    <row r="332">
      <c r="A332" s="24" t="n">
        <v>37</v>
      </c>
      <c r="B332" s="26" t="n">
        <v>56077928</v>
      </c>
      <c r="C332" s="27" t="inlineStr">
        <is>
          <t>NDXUSD</t>
        </is>
      </c>
      <c r="D332" s="27" t="inlineStr">
        <is>
          <t>sell</t>
        </is>
      </c>
      <c r="E332" s="27" t="inlineStr">
        <is>
          <t>M15</t>
        </is>
      </c>
      <c r="F332" s="27" t="inlineStr">
        <is>
          <t>open</t>
        </is>
      </c>
      <c r="G332" s="27" t="inlineStr">
        <is>
          <t>Breakeven</t>
        </is>
      </c>
      <c r="H332" s="65" t="inlineStr">
        <is>
          <t>30_56077928_NDXUSD_sell_M15_open_2026-07-29-203811.png</t>
        </is>
      </c>
      <c r="I332" s="23" t="inlineStr">
        <is>
          <t>3214929/NDXUSD/2026-07-29_56077928_NDXUSD_sell_scratch</t>
        </is>
      </c>
    </row>
    <row r="333">
      <c r="A333" s="24" t="n">
        <v>37</v>
      </c>
      <c r="B333" s="26" t="n">
        <v>56077928</v>
      </c>
      <c r="C333" s="27" t="inlineStr">
        <is>
          <t>NDXUSD</t>
        </is>
      </c>
      <c r="D333" s="27" t="inlineStr">
        <is>
          <t>sell</t>
        </is>
      </c>
      <c r="E333" s="27" t="inlineStr">
        <is>
          <t>M5</t>
        </is>
      </c>
      <c r="F333" s="27" t="inlineStr">
        <is>
          <t>close</t>
        </is>
      </c>
      <c r="G333" s="27" t="inlineStr">
        <is>
          <t>Breakeven</t>
        </is>
      </c>
      <c r="H333" s="65" t="inlineStr">
        <is>
          <t>40_56077928_NDXUSD_sell_M5_close_2026-07-29-205302.png</t>
        </is>
      </c>
      <c r="I333" s="23" t="inlineStr">
        <is>
          <t>3214929/NDXUSD/2026-07-29_56077928_NDXUSD_sell_scratch</t>
        </is>
      </c>
    </row>
    <row r="334">
      <c r="A334" s="24" t="n">
        <v>37</v>
      </c>
      <c r="B334" s="26" t="n">
        <v>56077928</v>
      </c>
      <c r="C334" s="27" t="inlineStr">
        <is>
          <t>NDXUSD</t>
        </is>
      </c>
      <c r="D334" s="27" t="inlineStr">
        <is>
          <t>sell</t>
        </is>
      </c>
      <c r="E334" s="27" t="inlineStr">
        <is>
          <t>M5</t>
        </is>
      </c>
      <c r="F334" s="27" t="inlineStr">
        <is>
          <t>open</t>
        </is>
      </c>
      <c r="G334" s="27" t="inlineStr">
        <is>
          <t>Breakeven</t>
        </is>
      </c>
      <c r="H334" s="65" t="inlineStr">
        <is>
          <t>40_56077928_NDXUSD_sell_M5_open_2026-07-29-203811.png</t>
        </is>
      </c>
      <c r="I334" s="23" t="inlineStr">
        <is>
          <t>3214929/NDXUSD/2026-07-29_56077928_NDXUSD_sell_scratch</t>
        </is>
      </c>
    </row>
    <row r="335">
      <c r="A335" s="24" t="n">
        <v>37</v>
      </c>
      <c r="B335" s="26" t="n">
        <v>56077928</v>
      </c>
      <c r="C335" s="27" t="inlineStr">
        <is>
          <t>NDXUSD</t>
        </is>
      </c>
      <c r="D335" s="27" t="inlineStr">
        <is>
          <t>sell</t>
        </is>
      </c>
      <c r="E335" s="27" t="inlineStr">
        <is>
          <t>M1</t>
        </is>
      </c>
      <c r="F335" s="27" t="inlineStr">
        <is>
          <t>close</t>
        </is>
      </c>
      <c r="G335" s="27" t="inlineStr">
        <is>
          <t>Breakeven</t>
        </is>
      </c>
      <c r="H335" s="65" t="inlineStr">
        <is>
          <t>50_56077928_NDXUSD_sell_M1_close_2026-07-29-205302.png</t>
        </is>
      </c>
      <c r="I335" s="23" t="inlineStr">
        <is>
          <t>3214929/NDXUSD/2026-07-29_56077928_NDXUSD_sell_scratch</t>
        </is>
      </c>
    </row>
    <row r="336">
      <c r="A336" s="24" t="n">
        <v>37</v>
      </c>
      <c r="B336" s="26" t="n">
        <v>56077928</v>
      </c>
      <c r="C336" s="27" t="inlineStr">
        <is>
          <t>NDXUSD</t>
        </is>
      </c>
      <c r="D336" s="27" t="inlineStr">
        <is>
          <t>sell</t>
        </is>
      </c>
      <c r="E336" s="27" t="inlineStr">
        <is>
          <t>M1</t>
        </is>
      </c>
      <c r="F336" s="27" t="inlineStr">
        <is>
          <t>journey</t>
        </is>
      </c>
      <c r="G336" s="27" t="inlineStr">
        <is>
          <t>Breakeven</t>
        </is>
      </c>
      <c r="H336" s="65" t="inlineStr">
        <is>
          <t>50_56077928_NDXUSD_sell_M1_journey_2026-07-29-203811.png</t>
        </is>
      </c>
      <c r="I336" s="23" t="inlineStr">
        <is>
          <t>3214929/NDXUSD/2026-07-29_56077928_NDXUSD_sell_scratch</t>
        </is>
      </c>
    </row>
    <row r="337">
      <c r="A337" s="24" t="n">
        <v>37</v>
      </c>
      <c r="B337" s="26" t="n">
        <v>56077928</v>
      </c>
      <c r="C337" s="27" t="inlineStr">
        <is>
          <t>NDXUSD</t>
        </is>
      </c>
      <c r="D337" s="27" t="inlineStr">
        <is>
          <t>sell</t>
        </is>
      </c>
      <c r="E337" s="27" t="inlineStr">
        <is>
          <t>M1</t>
        </is>
      </c>
      <c r="F337" s="27" t="inlineStr">
        <is>
          <t>open</t>
        </is>
      </c>
      <c r="G337" s="27" t="inlineStr">
        <is>
          <t>Breakeven</t>
        </is>
      </c>
      <c r="H337" s="65" t="inlineStr">
        <is>
          <t>50_56077928_NDXUSD_sell_M1_open_2026-07-29-203811.png</t>
        </is>
      </c>
      <c r="I337" s="23" t="inlineStr">
        <is>
          <t>3214929/NDXUSD/2026-07-29_56077928_NDXUSD_sell_scratch</t>
        </is>
      </c>
    </row>
    <row r="338">
      <c r="A338" s="24" t="n">
        <v>38</v>
      </c>
      <c r="B338" s="26" t="n">
        <v>56078174</v>
      </c>
      <c r="C338" s="27" t="inlineStr">
        <is>
          <t>XAUUSD</t>
        </is>
      </c>
      <c r="D338" s="27" t="inlineStr">
        <is>
          <t>sell</t>
        </is>
      </c>
      <c r="E338" s="27" t="inlineStr">
        <is>
          <t>H4</t>
        </is>
      </c>
      <c r="F338" s="27" t="inlineStr">
        <is>
          <t>close</t>
        </is>
      </c>
      <c r="G338" s="27" t="inlineStr">
        <is>
          <t>Loss</t>
        </is>
      </c>
      <c r="H338" s="65" t="inlineStr">
        <is>
          <t>10_56078174_XAUUSD_sell_H4_close_2026-07-29-205451.png</t>
        </is>
      </c>
      <c r="I338" s="23" t="inlineStr">
        <is>
          <t>3214929/XAUUSD/2026-07-29_56078174_XAUUSD_sell_loss</t>
        </is>
      </c>
    </row>
    <row r="339">
      <c r="A339" s="24" t="n">
        <v>38</v>
      </c>
      <c r="B339" s="26" t="n">
        <v>56078174</v>
      </c>
      <c r="C339" s="27" t="inlineStr">
        <is>
          <t>XAUUSD</t>
        </is>
      </c>
      <c r="D339" s="27" t="inlineStr">
        <is>
          <t>sell</t>
        </is>
      </c>
      <c r="E339" s="27" t="inlineStr">
        <is>
          <t>H1</t>
        </is>
      </c>
      <c r="F339" s="27" t="inlineStr">
        <is>
          <t>close</t>
        </is>
      </c>
      <c r="G339" s="27" t="inlineStr">
        <is>
          <t>Loss</t>
        </is>
      </c>
      <c r="H339" s="65" t="inlineStr">
        <is>
          <t>20_56078174_XAUUSD_sell_H1_close_2026-07-29-205451.png</t>
        </is>
      </c>
      <c r="I339" s="23" t="inlineStr">
        <is>
          <t>3214929/XAUUSD/2026-07-29_56078174_XAUUSD_sell_loss</t>
        </is>
      </c>
    </row>
    <row r="340">
      <c r="A340" s="24" t="n">
        <v>38</v>
      </c>
      <c r="B340" s="26" t="n">
        <v>56078174</v>
      </c>
      <c r="C340" s="27" t="inlineStr">
        <is>
          <t>XAUUSD</t>
        </is>
      </c>
      <c r="D340" s="27" t="inlineStr">
        <is>
          <t>sell</t>
        </is>
      </c>
      <c r="E340" s="27" t="inlineStr">
        <is>
          <t>M15</t>
        </is>
      </c>
      <c r="F340" s="27" t="inlineStr">
        <is>
          <t>close</t>
        </is>
      </c>
      <c r="G340" s="27" t="inlineStr">
        <is>
          <t>Loss</t>
        </is>
      </c>
      <c r="H340" s="65" t="inlineStr">
        <is>
          <t>30_56078174_XAUUSD_sell_M15_close_2026-07-29-205451.png</t>
        </is>
      </c>
      <c r="I340" s="23" t="inlineStr">
        <is>
          <t>3214929/XAUUSD/2026-07-29_56078174_XAUUSD_sell_loss</t>
        </is>
      </c>
    </row>
    <row r="341">
      <c r="A341" s="24" t="n">
        <v>38</v>
      </c>
      <c r="B341" s="26" t="n">
        <v>56078174</v>
      </c>
      <c r="C341" s="27" t="inlineStr">
        <is>
          <t>XAUUSD</t>
        </is>
      </c>
      <c r="D341" s="27" t="inlineStr">
        <is>
          <t>sell</t>
        </is>
      </c>
      <c r="E341" s="27" t="inlineStr">
        <is>
          <t>M15</t>
        </is>
      </c>
      <c r="F341" s="27" t="inlineStr">
        <is>
          <t>open</t>
        </is>
      </c>
      <c r="G341" s="27" t="inlineStr">
        <is>
          <t>Loss</t>
        </is>
      </c>
      <c r="H341" s="65" t="inlineStr">
        <is>
          <t>30_56078174_XAUUSD_sell_M15_open_2026-07-29-204009.png</t>
        </is>
      </c>
      <c r="I341" s="23" t="inlineStr">
        <is>
          <t>3214929/XAUUSD/2026-07-29_56078174_XAUUSD_sell_loss</t>
        </is>
      </c>
    </row>
    <row r="342">
      <c r="A342" s="24" t="n">
        <v>38</v>
      </c>
      <c r="B342" s="26" t="n">
        <v>56078174</v>
      </c>
      <c r="C342" s="27" t="inlineStr">
        <is>
          <t>XAUUSD</t>
        </is>
      </c>
      <c r="D342" s="27" t="inlineStr">
        <is>
          <t>sell</t>
        </is>
      </c>
      <c r="E342" s="27" t="inlineStr">
        <is>
          <t>M5</t>
        </is>
      </c>
      <c r="F342" s="27" t="inlineStr">
        <is>
          <t>close</t>
        </is>
      </c>
      <c r="G342" s="27" t="inlineStr">
        <is>
          <t>Loss</t>
        </is>
      </c>
      <c r="H342" s="65" t="inlineStr">
        <is>
          <t>40_56078174_XAUUSD_sell_M5_close_2026-07-29-205451.png</t>
        </is>
      </c>
      <c r="I342" s="23" t="inlineStr">
        <is>
          <t>3214929/XAUUSD/2026-07-29_56078174_XAUUSD_sell_loss</t>
        </is>
      </c>
    </row>
    <row r="343">
      <c r="A343" s="24" t="n">
        <v>38</v>
      </c>
      <c r="B343" s="26" t="n">
        <v>56078174</v>
      </c>
      <c r="C343" s="27" t="inlineStr">
        <is>
          <t>XAUUSD</t>
        </is>
      </c>
      <c r="D343" s="27" t="inlineStr">
        <is>
          <t>sell</t>
        </is>
      </c>
      <c r="E343" s="27" t="inlineStr">
        <is>
          <t>M5</t>
        </is>
      </c>
      <c r="F343" s="27" t="inlineStr">
        <is>
          <t>open</t>
        </is>
      </c>
      <c r="G343" s="27" t="inlineStr">
        <is>
          <t>Loss</t>
        </is>
      </c>
      <c r="H343" s="65" t="inlineStr">
        <is>
          <t>40_56078174_XAUUSD_sell_M5_open_2026-07-29-204009.png</t>
        </is>
      </c>
      <c r="I343" s="23" t="inlineStr">
        <is>
          <t>3214929/XAUUSD/2026-07-29_56078174_XAUUSD_sell_loss</t>
        </is>
      </c>
    </row>
    <row r="344">
      <c r="A344" s="24" t="n">
        <v>38</v>
      </c>
      <c r="B344" s="26" t="n">
        <v>56078174</v>
      </c>
      <c r="C344" s="27" t="inlineStr">
        <is>
          <t>XAUUSD</t>
        </is>
      </c>
      <c r="D344" s="27" t="inlineStr">
        <is>
          <t>sell</t>
        </is>
      </c>
      <c r="E344" s="27" t="inlineStr">
        <is>
          <t>M1</t>
        </is>
      </c>
      <c r="F344" s="27" t="inlineStr">
        <is>
          <t>close</t>
        </is>
      </c>
      <c r="G344" s="27" t="inlineStr">
        <is>
          <t>Loss</t>
        </is>
      </c>
      <c r="H344" s="65" t="inlineStr">
        <is>
          <t>50_56078174_XAUUSD_sell_M1_close_2026-07-29-205451.png</t>
        </is>
      </c>
      <c r="I344" s="23" t="inlineStr">
        <is>
          <t>3214929/XAUUSD/2026-07-29_56078174_XAUUSD_sell_loss</t>
        </is>
      </c>
    </row>
    <row r="345">
      <c r="A345" s="24" t="n">
        <v>38</v>
      </c>
      <c r="B345" s="26" t="n">
        <v>56078174</v>
      </c>
      <c r="C345" s="27" t="inlineStr">
        <is>
          <t>XAUUSD</t>
        </is>
      </c>
      <c r="D345" s="27" t="inlineStr">
        <is>
          <t>sell</t>
        </is>
      </c>
      <c r="E345" s="27" t="inlineStr">
        <is>
          <t>M1</t>
        </is>
      </c>
      <c r="F345" s="27" t="inlineStr">
        <is>
          <t>journey</t>
        </is>
      </c>
      <c r="G345" s="27" t="inlineStr">
        <is>
          <t>Loss</t>
        </is>
      </c>
      <c r="H345" s="65" t="inlineStr">
        <is>
          <t>50_56078174_XAUUSD_sell_M1_journey_2026-07-29-204009.png</t>
        </is>
      </c>
      <c r="I345" s="23" t="inlineStr">
        <is>
          <t>3214929/XAUUSD/2026-07-29_56078174_XAUUSD_sell_loss</t>
        </is>
      </c>
    </row>
    <row r="346">
      <c r="A346" s="24" t="n">
        <v>38</v>
      </c>
      <c r="B346" s="26" t="n">
        <v>56078174</v>
      </c>
      <c r="C346" s="27" t="inlineStr">
        <is>
          <t>XAUUSD</t>
        </is>
      </c>
      <c r="D346" s="27" t="inlineStr">
        <is>
          <t>sell</t>
        </is>
      </c>
      <c r="E346" s="27" t="inlineStr">
        <is>
          <t>M1</t>
        </is>
      </c>
      <c r="F346" s="27" t="inlineStr">
        <is>
          <t>open</t>
        </is>
      </c>
      <c r="G346" s="27" t="inlineStr">
        <is>
          <t>Loss</t>
        </is>
      </c>
      <c r="H346" s="65" t="inlineStr">
        <is>
          <t>50_56078174_XAUUSD_sell_M1_open_2026-07-29-204009.png</t>
        </is>
      </c>
      <c r="I346" s="23" t="inlineStr">
        <is>
          <t>3214929/XAUUSD/2026-07-29_56078174_XAUUSD_sell_loss</t>
        </is>
      </c>
    </row>
    <row r="347">
      <c r="A347" s="24" t="n">
        <v>39</v>
      </c>
      <c r="B347" s="26" t="n">
        <v>56086025</v>
      </c>
      <c r="C347" s="27" t="inlineStr">
        <is>
          <t>NIKJPY</t>
        </is>
      </c>
      <c r="D347" s="27" t="inlineStr">
        <is>
          <t>buy</t>
        </is>
      </c>
      <c r="E347" s="27" t="inlineStr">
        <is>
          <t>H4</t>
        </is>
      </c>
      <c r="F347" s="27" t="inlineStr">
        <is>
          <t>close</t>
        </is>
      </c>
      <c r="G347" s="27" t="inlineStr">
        <is>
          <t>Loss</t>
        </is>
      </c>
      <c r="H347" s="65" t="inlineStr">
        <is>
          <t>10_56086025_NIKJPY_buy_H4_close_2026-07-29-235008.png</t>
        </is>
      </c>
      <c r="I347" s="23" t="inlineStr">
        <is>
          <t>3214929/NIKJPY/2026-07-29_56086025_NIKJPY_buy_loss</t>
        </is>
      </c>
    </row>
    <row r="348">
      <c r="A348" s="24" t="n">
        <v>39</v>
      </c>
      <c r="B348" s="26" t="n">
        <v>56086025</v>
      </c>
      <c r="C348" s="27" t="inlineStr">
        <is>
          <t>NIKJPY</t>
        </is>
      </c>
      <c r="D348" s="27" t="inlineStr">
        <is>
          <t>buy</t>
        </is>
      </c>
      <c r="E348" s="27" t="inlineStr">
        <is>
          <t>H1</t>
        </is>
      </c>
      <c r="F348" s="27" t="inlineStr">
        <is>
          <t>close</t>
        </is>
      </c>
      <c r="G348" s="27" t="inlineStr">
        <is>
          <t>Loss</t>
        </is>
      </c>
      <c r="H348" s="65" t="inlineStr">
        <is>
          <t>20_56086025_NIKJPY_buy_H1_close_2026-07-29-235008.png</t>
        </is>
      </c>
      <c r="I348" s="23" t="inlineStr">
        <is>
          <t>3214929/NIKJPY/2026-07-29_56086025_NIKJPY_buy_loss</t>
        </is>
      </c>
    </row>
    <row r="349">
      <c r="A349" s="24" t="n">
        <v>39</v>
      </c>
      <c r="B349" s="26" t="n">
        <v>56086025</v>
      </c>
      <c r="C349" s="27" t="inlineStr">
        <is>
          <t>NIKJPY</t>
        </is>
      </c>
      <c r="D349" s="27" t="inlineStr">
        <is>
          <t>buy</t>
        </is>
      </c>
      <c r="E349" s="27" t="inlineStr">
        <is>
          <t>M15</t>
        </is>
      </c>
      <c r="F349" s="27" t="inlineStr">
        <is>
          <t>close</t>
        </is>
      </c>
      <c r="G349" s="27" t="inlineStr">
        <is>
          <t>Loss</t>
        </is>
      </c>
      <c r="H349" s="65" t="inlineStr">
        <is>
          <t>30_56086025_NIKJPY_buy_M15_close_2026-07-29-235008.png</t>
        </is>
      </c>
      <c r="I349" s="23" t="inlineStr">
        <is>
          <t>3214929/NIKJPY/2026-07-29_56086025_NIKJPY_buy_loss</t>
        </is>
      </c>
    </row>
    <row r="350">
      <c r="A350" s="24" t="n">
        <v>39</v>
      </c>
      <c r="B350" s="26" t="n">
        <v>56086025</v>
      </c>
      <c r="C350" s="27" t="inlineStr">
        <is>
          <t>NIKJPY</t>
        </is>
      </c>
      <c r="D350" s="27" t="inlineStr">
        <is>
          <t>buy</t>
        </is>
      </c>
      <c r="E350" s="27" t="inlineStr">
        <is>
          <t>M15</t>
        </is>
      </c>
      <c r="F350" s="27" t="inlineStr">
        <is>
          <t>open</t>
        </is>
      </c>
      <c r="G350" s="27" t="inlineStr">
        <is>
          <t>Loss</t>
        </is>
      </c>
      <c r="H350" s="65" t="inlineStr">
        <is>
          <t>30_56086025_NIKJPY_buy_M15_open_2026-07-29-234557.png</t>
        </is>
      </c>
      <c r="I350" s="23" t="inlineStr">
        <is>
          <t>3214929/NIKJPY/2026-07-29_56086025_NIKJPY_buy_loss</t>
        </is>
      </c>
    </row>
    <row r="351">
      <c r="A351" s="24" t="n">
        <v>39</v>
      </c>
      <c r="B351" s="26" t="n">
        <v>56086025</v>
      </c>
      <c r="C351" s="27" t="inlineStr">
        <is>
          <t>NIKJPY</t>
        </is>
      </c>
      <c r="D351" s="27" t="inlineStr">
        <is>
          <t>buy</t>
        </is>
      </c>
      <c r="E351" s="27" t="inlineStr">
        <is>
          <t>M5</t>
        </is>
      </c>
      <c r="F351" s="27" t="inlineStr">
        <is>
          <t>close</t>
        </is>
      </c>
      <c r="G351" s="27" t="inlineStr">
        <is>
          <t>Loss</t>
        </is>
      </c>
      <c r="H351" s="65" t="inlineStr">
        <is>
          <t>40_56086025_NIKJPY_buy_M5_close_2026-07-29-235008.png</t>
        </is>
      </c>
      <c r="I351" s="23" t="inlineStr">
        <is>
          <t>3214929/NIKJPY/2026-07-29_56086025_NIKJPY_buy_loss</t>
        </is>
      </c>
    </row>
    <row r="352">
      <c r="A352" s="24" t="n">
        <v>39</v>
      </c>
      <c r="B352" s="26" t="n">
        <v>56086025</v>
      </c>
      <c r="C352" s="27" t="inlineStr">
        <is>
          <t>NIKJPY</t>
        </is>
      </c>
      <c r="D352" s="27" t="inlineStr">
        <is>
          <t>buy</t>
        </is>
      </c>
      <c r="E352" s="27" t="inlineStr">
        <is>
          <t>M5</t>
        </is>
      </c>
      <c r="F352" s="27" t="inlineStr">
        <is>
          <t>open</t>
        </is>
      </c>
      <c r="G352" s="27" t="inlineStr">
        <is>
          <t>Loss</t>
        </is>
      </c>
      <c r="H352" s="65" t="inlineStr">
        <is>
          <t>40_56086025_NIKJPY_buy_M5_open_2026-07-29-234557.png</t>
        </is>
      </c>
      <c r="I352" s="23" t="inlineStr">
        <is>
          <t>3214929/NIKJPY/2026-07-29_56086025_NIKJPY_buy_loss</t>
        </is>
      </c>
    </row>
    <row r="353">
      <c r="A353" s="24" t="n">
        <v>39</v>
      </c>
      <c r="B353" s="26" t="n">
        <v>56086025</v>
      </c>
      <c r="C353" s="27" t="inlineStr">
        <is>
          <t>NIKJPY</t>
        </is>
      </c>
      <c r="D353" s="27" t="inlineStr">
        <is>
          <t>buy</t>
        </is>
      </c>
      <c r="E353" s="27" t="inlineStr">
        <is>
          <t>M1</t>
        </is>
      </c>
      <c r="F353" s="27" t="inlineStr">
        <is>
          <t>close</t>
        </is>
      </c>
      <c r="G353" s="27" t="inlineStr">
        <is>
          <t>Loss</t>
        </is>
      </c>
      <c r="H353" s="65" t="inlineStr">
        <is>
          <t>50_56086025_NIKJPY_buy_M1_close_2026-07-29-235008.png</t>
        </is>
      </c>
      <c r="I353" s="23" t="inlineStr">
        <is>
          <t>3214929/NIKJPY/2026-07-29_56086025_NIKJPY_buy_loss</t>
        </is>
      </c>
    </row>
    <row r="354">
      <c r="A354" s="24" t="n">
        <v>39</v>
      </c>
      <c r="B354" s="26" t="n">
        <v>56086025</v>
      </c>
      <c r="C354" s="27" t="inlineStr">
        <is>
          <t>NIKJPY</t>
        </is>
      </c>
      <c r="D354" s="27" t="inlineStr">
        <is>
          <t>buy</t>
        </is>
      </c>
      <c r="E354" s="27" t="inlineStr">
        <is>
          <t>M1</t>
        </is>
      </c>
      <c r="F354" s="27" t="inlineStr">
        <is>
          <t>journey</t>
        </is>
      </c>
      <c r="G354" s="27" t="inlineStr">
        <is>
          <t>Loss</t>
        </is>
      </c>
      <c r="H354" s="65" t="inlineStr">
        <is>
          <t>50_56086025_NIKJPY_buy_M1_journey_2026-07-29-234557.png</t>
        </is>
      </c>
      <c r="I354" s="23" t="inlineStr">
        <is>
          <t>3214929/NIKJPY/2026-07-29_56086025_NIKJPY_buy_loss</t>
        </is>
      </c>
    </row>
    <row r="355">
      <c r="A355" s="24" t="n">
        <v>39</v>
      </c>
      <c r="B355" s="26" t="n">
        <v>56086025</v>
      </c>
      <c r="C355" s="27" t="inlineStr">
        <is>
          <t>NIKJPY</t>
        </is>
      </c>
      <c r="D355" s="27" t="inlineStr">
        <is>
          <t>buy</t>
        </is>
      </c>
      <c r="E355" s="27" t="inlineStr">
        <is>
          <t>M1</t>
        </is>
      </c>
      <c r="F355" s="27" t="inlineStr">
        <is>
          <t>open</t>
        </is>
      </c>
      <c r="G355" s="27" t="inlineStr">
        <is>
          <t>Loss</t>
        </is>
      </c>
      <c r="H355" s="65" t="inlineStr">
        <is>
          <t>50_56086025_NIKJPY_buy_M1_open_2026-07-29-234557.png</t>
        </is>
      </c>
      <c r="I355" s="23" t="inlineStr">
        <is>
          <t>3214929/NIKJPY/2026-07-29_56086025_NIKJPY_buy_loss</t>
        </is>
      </c>
    </row>
    <row r="356">
      <c r="A356" s="24" t="n">
        <v>40</v>
      </c>
      <c r="B356" s="26" t="n">
        <v>56314087</v>
      </c>
      <c r="C356" s="27" t="inlineStr">
        <is>
          <t>XAUUSD</t>
        </is>
      </c>
      <c r="D356" s="27" t="inlineStr">
        <is>
          <t>sell</t>
        </is>
      </c>
      <c r="E356" s="27" t="inlineStr">
        <is>
          <t>H4</t>
        </is>
      </c>
      <c r="F356" s="27" t="inlineStr">
        <is>
          <t>close</t>
        </is>
      </c>
      <c r="G356" s="27" t="inlineStr">
        <is>
          <t>Loss</t>
        </is>
      </c>
      <c r="H356" s="65" t="inlineStr">
        <is>
          <t>10_56314087_XAUUSD_sell_H4_close_2026-07-30-135905.png</t>
        </is>
      </c>
      <c r="I356" s="23" t="inlineStr">
        <is>
          <t>3214929/XAUUSD/2026-07-30_56314087_XAUUSD_sell_loss</t>
        </is>
      </c>
    </row>
    <row r="357">
      <c r="A357" s="24" t="n">
        <v>40</v>
      </c>
      <c r="B357" s="26" t="n">
        <v>56314087</v>
      </c>
      <c r="C357" s="27" t="inlineStr">
        <is>
          <t>XAUUSD</t>
        </is>
      </c>
      <c r="D357" s="27" t="inlineStr">
        <is>
          <t>sell</t>
        </is>
      </c>
      <c r="E357" s="27" t="inlineStr">
        <is>
          <t>H1</t>
        </is>
      </c>
      <c r="F357" s="27" t="inlineStr">
        <is>
          <t>close</t>
        </is>
      </c>
      <c r="G357" s="27" t="inlineStr">
        <is>
          <t>Loss</t>
        </is>
      </c>
      <c r="H357" s="65" t="inlineStr">
        <is>
          <t>20_56314087_XAUUSD_sell_H1_close_2026-07-30-135905.png</t>
        </is>
      </c>
      <c r="I357" s="23" t="inlineStr">
        <is>
          <t>3214929/XAUUSD/2026-07-30_56314087_XAUUSD_sell_loss</t>
        </is>
      </c>
    </row>
    <row r="358">
      <c r="A358" s="24" t="n">
        <v>40</v>
      </c>
      <c r="B358" s="26" t="n">
        <v>56314087</v>
      </c>
      <c r="C358" s="27" t="inlineStr">
        <is>
          <t>XAUUSD</t>
        </is>
      </c>
      <c r="D358" s="27" t="inlineStr">
        <is>
          <t>sell</t>
        </is>
      </c>
      <c r="E358" s="27" t="inlineStr">
        <is>
          <t>M15</t>
        </is>
      </c>
      <c r="F358" s="27" t="inlineStr">
        <is>
          <t>close</t>
        </is>
      </c>
      <c r="G358" s="27" t="inlineStr">
        <is>
          <t>Loss</t>
        </is>
      </c>
      <c r="H358" s="65" t="inlineStr">
        <is>
          <t>30_56314087_XAUUSD_sell_M15_close_2026-07-30-135905.png</t>
        </is>
      </c>
      <c r="I358" s="23" t="inlineStr">
        <is>
          <t>3214929/XAUUSD/2026-07-30_56314087_XAUUSD_sell_loss</t>
        </is>
      </c>
    </row>
    <row r="359">
      <c r="A359" s="24" t="n">
        <v>40</v>
      </c>
      <c r="B359" s="26" t="n">
        <v>56314087</v>
      </c>
      <c r="C359" s="27" t="inlineStr">
        <is>
          <t>XAUUSD</t>
        </is>
      </c>
      <c r="D359" s="27" t="inlineStr">
        <is>
          <t>sell</t>
        </is>
      </c>
      <c r="E359" s="27" t="inlineStr">
        <is>
          <t>M15</t>
        </is>
      </c>
      <c r="F359" s="27" t="inlineStr">
        <is>
          <t>open</t>
        </is>
      </c>
      <c r="G359" s="27" t="inlineStr">
        <is>
          <t>Loss</t>
        </is>
      </c>
      <c r="H359" s="65" t="inlineStr">
        <is>
          <t>30_56314087_XAUUSD_sell_M15_open_2026-07-30-134219.png</t>
        </is>
      </c>
      <c r="I359" s="23" t="inlineStr">
        <is>
          <t>3214929/XAUUSD/2026-07-30_56314087_XAUUSD_sell_loss</t>
        </is>
      </c>
    </row>
    <row r="360">
      <c r="A360" s="24" t="n">
        <v>40</v>
      </c>
      <c r="B360" s="26" t="n">
        <v>56314087</v>
      </c>
      <c r="C360" s="27" t="inlineStr">
        <is>
          <t>XAUUSD</t>
        </is>
      </c>
      <c r="D360" s="27" t="inlineStr">
        <is>
          <t>sell</t>
        </is>
      </c>
      <c r="E360" s="27" t="inlineStr">
        <is>
          <t>M5</t>
        </is>
      </c>
      <c r="F360" s="27" t="inlineStr">
        <is>
          <t>close</t>
        </is>
      </c>
      <c r="G360" s="27" t="inlineStr">
        <is>
          <t>Loss</t>
        </is>
      </c>
      <c r="H360" s="65" t="inlineStr">
        <is>
          <t>40_56314087_XAUUSD_sell_M5_close_2026-07-30-135905.png</t>
        </is>
      </c>
      <c r="I360" s="23" t="inlineStr">
        <is>
          <t>3214929/XAUUSD/2026-07-30_56314087_XAUUSD_sell_loss</t>
        </is>
      </c>
    </row>
    <row r="361">
      <c r="A361" s="24" t="n">
        <v>40</v>
      </c>
      <c r="B361" s="26" t="n">
        <v>56314087</v>
      </c>
      <c r="C361" s="27" t="inlineStr">
        <is>
          <t>XAUUSD</t>
        </is>
      </c>
      <c r="D361" s="27" t="inlineStr">
        <is>
          <t>sell</t>
        </is>
      </c>
      <c r="E361" s="27" t="inlineStr">
        <is>
          <t>M5</t>
        </is>
      </c>
      <c r="F361" s="27" t="inlineStr">
        <is>
          <t>open</t>
        </is>
      </c>
      <c r="G361" s="27" t="inlineStr">
        <is>
          <t>Loss</t>
        </is>
      </c>
      <c r="H361" s="65" t="inlineStr">
        <is>
          <t>40_56314087_XAUUSD_sell_M5_open_2026-07-30-134219.png</t>
        </is>
      </c>
      <c r="I361" s="23" t="inlineStr">
        <is>
          <t>3214929/XAUUSD/2026-07-30_56314087_XAUUSD_sell_loss</t>
        </is>
      </c>
    </row>
    <row r="362">
      <c r="A362" s="24" t="n">
        <v>40</v>
      </c>
      <c r="B362" s="26" t="n">
        <v>56314087</v>
      </c>
      <c r="C362" s="27" t="inlineStr">
        <is>
          <t>XAUUSD</t>
        </is>
      </c>
      <c r="D362" s="27" t="inlineStr">
        <is>
          <t>sell</t>
        </is>
      </c>
      <c r="E362" s="27" t="inlineStr">
        <is>
          <t>M1</t>
        </is>
      </c>
      <c r="F362" s="27" t="inlineStr">
        <is>
          <t>close</t>
        </is>
      </c>
      <c r="G362" s="27" t="inlineStr">
        <is>
          <t>Loss</t>
        </is>
      </c>
      <c r="H362" s="65" t="inlineStr">
        <is>
          <t>50_56314087_XAUUSD_sell_M1_close_2026-07-30-135905.png</t>
        </is>
      </c>
      <c r="I362" s="23" t="inlineStr">
        <is>
          <t>3214929/XAUUSD/2026-07-30_56314087_XAUUSD_sell_loss</t>
        </is>
      </c>
    </row>
    <row r="363">
      <c r="A363" s="24" t="n">
        <v>40</v>
      </c>
      <c r="B363" s="26" t="n">
        <v>56314087</v>
      </c>
      <c r="C363" s="27" t="inlineStr">
        <is>
          <t>XAUUSD</t>
        </is>
      </c>
      <c r="D363" s="27" t="inlineStr">
        <is>
          <t>sell</t>
        </is>
      </c>
      <c r="E363" s="27" t="inlineStr">
        <is>
          <t>M1</t>
        </is>
      </c>
      <c r="F363" s="27" t="inlineStr">
        <is>
          <t>journey</t>
        </is>
      </c>
      <c r="G363" s="27" t="inlineStr">
        <is>
          <t>Loss</t>
        </is>
      </c>
      <c r="H363" s="65" t="inlineStr">
        <is>
          <t>50_56314087_XAUUSD_sell_M1_journey_2026-07-30-134219.png</t>
        </is>
      </c>
      <c r="I363" s="23" t="inlineStr">
        <is>
          <t>3214929/XAUUSD/2026-07-30_56314087_XAUUSD_sell_loss</t>
        </is>
      </c>
    </row>
    <row r="364">
      <c r="A364" s="24" t="n">
        <v>40</v>
      </c>
      <c r="B364" s="26" t="n">
        <v>56314087</v>
      </c>
      <c r="C364" s="27" t="inlineStr">
        <is>
          <t>XAUUSD</t>
        </is>
      </c>
      <c r="D364" s="27" t="inlineStr">
        <is>
          <t>sell</t>
        </is>
      </c>
      <c r="E364" s="27" t="inlineStr">
        <is>
          <t>M1</t>
        </is>
      </c>
      <c r="F364" s="27" t="inlineStr">
        <is>
          <t>open</t>
        </is>
      </c>
      <c r="G364" s="27" t="inlineStr">
        <is>
          <t>Loss</t>
        </is>
      </c>
      <c r="H364" s="65" t="inlineStr">
        <is>
          <t>50_56314087_XAUUSD_sell_M1_open_2026-07-30-134219.png</t>
        </is>
      </c>
      <c r="I364" s="23" t="inlineStr">
        <is>
          <t>3214929/XAUUSD/2026-07-30_56314087_XAUUSD_sell_loss</t>
        </is>
      </c>
    </row>
    <row r="365">
      <c r="A365" s="24" t="n">
        <v>41</v>
      </c>
      <c r="B365" s="26" t="n">
        <v>56390633</v>
      </c>
      <c r="C365" s="27" t="inlineStr">
        <is>
          <t>XAUUSD</t>
        </is>
      </c>
      <c r="D365" s="27" t="inlineStr">
        <is>
          <t>buy</t>
        </is>
      </c>
      <c r="E365" s="27" t="inlineStr">
        <is>
          <t>H4</t>
        </is>
      </c>
      <c r="F365" s="27" t="inlineStr">
        <is>
          <t>close</t>
        </is>
      </c>
      <c r="G365" s="27" t="inlineStr">
        <is>
          <t>Win</t>
        </is>
      </c>
      <c r="H365" s="65" t="inlineStr">
        <is>
          <t>10_56390633_XAUUSD_buy_H4_close_2026-07-30-154403.png</t>
        </is>
      </c>
      <c r="I365" s="23" t="inlineStr">
        <is>
          <t>3214929/XAUUSD/2026-07-30_56390633_XAUUSD_buy_win</t>
        </is>
      </c>
    </row>
    <row r="366">
      <c r="A366" s="24" t="n">
        <v>41</v>
      </c>
      <c r="B366" s="26" t="n">
        <v>56390633</v>
      </c>
      <c r="C366" s="27" t="inlineStr">
        <is>
          <t>XAUUSD</t>
        </is>
      </c>
      <c r="D366" s="27" t="inlineStr">
        <is>
          <t>buy</t>
        </is>
      </c>
      <c r="E366" s="27" t="inlineStr">
        <is>
          <t>H1</t>
        </is>
      </c>
      <c r="F366" s="27" t="inlineStr">
        <is>
          <t>close</t>
        </is>
      </c>
      <c r="G366" s="27" t="inlineStr">
        <is>
          <t>Win</t>
        </is>
      </c>
      <c r="H366" s="65" t="inlineStr">
        <is>
          <t>20_56390633_XAUUSD_buy_H1_close_2026-07-30-154403.png</t>
        </is>
      </c>
      <c r="I366" s="23" t="inlineStr">
        <is>
          <t>3214929/XAUUSD/2026-07-30_56390633_XAUUSD_buy_win</t>
        </is>
      </c>
    </row>
    <row r="367">
      <c r="A367" s="24" t="n">
        <v>41</v>
      </c>
      <c r="B367" s="26" t="n">
        <v>56390633</v>
      </c>
      <c r="C367" s="27" t="inlineStr">
        <is>
          <t>XAUUSD</t>
        </is>
      </c>
      <c r="D367" s="27" t="inlineStr">
        <is>
          <t>buy</t>
        </is>
      </c>
      <c r="E367" s="27" t="inlineStr">
        <is>
          <t>M15</t>
        </is>
      </c>
      <c r="F367" s="27" t="inlineStr">
        <is>
          <t>close</t>
        </is>
      </c>
      <c r="G367" s="27" t="inlineStr">
        <is>
          <t>Win</t>
        </is>
      </c>
      <c r="H367" s="65" t="inlineStr">
        <is>
          <t>30_56390633_XAUUSD_buy_M15_close_2026-07-30-154403.png</t>
        </is>
      </c>
      <c r="I367" s="23" t="inlineStr">
        <is>
          <t>3214929/XAUUSD/2026-07-30_56390633_XAUUSD_buy_win</t>
        </is>
      </c>
    </row>
    <row r="368">
      <c r="A368" s="24" t="n">
        <v>41</v>
      </c>
      <c r="B368" s="26" t="n">
        <v>56390633</v>
      </c>
      <c r="C368" s="27" t="inlineStr">
        <is>
          <t>XAUUSD</t>
        </is>
      </c>
      <c r="D368" s="27" t="inlineStr">
        <is>
          <t>buy</t>
        </is>
      </c>
      <c r="E368" s="27" t="inlineStr">
        <is>
          <t>M15</t>
        </is>
      </c>
      <c r="F368" s="27" t="inlineStr">
        <is>
          <t>open</t>
        </is>
      </c>
      <c r="G368" s="27" t="inlineStr">
        <is>
          <t>Win</t>
        </is>
      </c>
      <c r="H368" s="65" t="inlineStr">
        <is>
          <t>30_56390633_XAUUSD_buy_M15_open_2026-07-30-152200.png</t>
        </is>
      </c>
      <c r="I368" s="23" t="inlineStr">
        <is>
          <t>3214929/XAUUSD/2026-07-30_56390633_XAUUSD_buy_win</t>
        </is>
      </c>
    </row>
    <row r="369">
      <c r="A369" s="24" t="n">
        <v>41</v>
      </c>
      <c r="B369" s="26" t="n">
        <v>56390633</v>
      </c>
      <c r="C369" s="27" t="inlineStr">
        <is>
          <t>XAUUSD</t>
        </is>
      </c>
      <c r="D369" s="27" t="inlineStr">
        <is>
          <t>buy</t>
        </is>
      </c>
      <c r="E369" s="27" t="inlineStr">
        <is>
          <t>M5</t>
        </is>
      </c>
      <c r="F369" s="27" t="inlineStr">
        <is>
          <t>close</t>
        </is>
      </c>
      <c r="G369" s="27" t="inlineStr">
        <is>
          <t>Win</t>
        </is>
      </c>
      <c r="H369" s="65" t="inlineStr">
        <is>
          <t>40_56390633_XAUUSD_buy_M5_close_2026-07-30-154403.png</t>
        </is>
      </c>
      <c r="I369" s="23" t="inlineStr">
        <is>
          <t>3214929/XAUUSD/2026-07-30_56390633_XAUUSD_buy_win</t>
        </is>
      </c>
    </row>
    <row r="370">
      <c r="A370" s="24" t="n">
        <v>41</v>
      </c>
      <c r="B370" s="26" t="n">
        <v>56390633</v>
      </c>
      <c r="C370" s="27" t="inlineStr">
        <is>
          <t>XAUUSD</t>
        </is>
      </c>
      <c r="D370" s="27" t="inlineStr">
        <is>
          <t>buy</t>
        </is>
      </c>
      <c r="E370" s="27" t="inlineStr">
        <is>
          <t>M5</t>
        </is>
      </c>
      <c r="F370" s="27" t="inlineStr">
        <is>
          <t>open</t>
        </is>
      </c>
      <c r="G370" s="27" t="inlineStr">
        <is>
          <t>Win</t>
        </is>
      </c>
      <c r="H370" s="65" t="inlineStr">
        <is>
          <t>40_56390633_XAUUSD_buy_M5_open_2026-07-30-152200.png</t>
        </is>
      </c>
      <c r="I370" s="23" t="inlineStr">
        <is>
          <t>3214929/XAUUSD/2026-07-30_56390633_XAUUSD_buy_win</t>
        </is>
      </c>
    </row>
    <row r="371">
      <c r="A371" s="24" t="n">
        <v>41</v>
      </c>
      <c r="B371" s="26" t="n">
        <v>56390633</v>
      </c>
      <c r="C371" s="27" t="inlineStr">
        <is>
          <t>XAUUSD</t>
        </is>
      </c>
      <c r="D371" s="27" t="inlineStr">
        <is>
          <t>buy</t>
        </is>
      </c>
      <c r="E371" s="27" t="inlineStr">
        <is>
          <t>M1</t>
        </is>
      </c>
      <c r="F371" s="27" t="inlineStr">
        <is>
          <t>close</t>
        </is>
      </c>
      <c r="G371" s="27" t="inlineStr">
        <is>
          <t>Win</t>
        </is>
      </c>
      <c r="H371" s="65" t="inlineStr">
        <is>
          <t>50_56390633_XAUUSD_buy_M1_close_2026-07-30-154403.png</t>
        </is>
      </c>
      <c r="I371" s="23" t="inlineStr">
        <is>
          <t>3214929/XAUUSD/2026-07-30_56390633_XAUUSD_buy_win</t>
        </is>
      </c>
    </row>
    <row r="372">
      <c r="A372" s="24" t="n">
        <v>41</v>
      </c>
      <c r="B372" s="26" t="n">
        <v>56390633</v>
      </c>
      <c r="C372" s="27" t="inlineStr">
        <is>
          <t>XAUUSD</t>
        </is>
      </c>
      <c r="D372" s="27" t="inlineStr">
        <is>
          <t>buy</t>
        </is>
      </c>
      <c r="E372" s="27" t="inlineStr">
        <is>
          <t>M1</t>
        </is>
      </c>
      <c r="F372" s="27" t="inlineStr">
        <is>
          <t>journey</t>
        </is>
      </c>
      <c r="G372" s="27" t="inlineStr">
        <is>
          <t>Win</t>
        </is>
      </c>
      <c r="H372" s="65" t="inlineStr">
        <is>
          <t>50_56390633_XAUUSD_buy_M1_journey_2026-07-30-152200.png</t>
        </is>
      </c>
      <c r="I372" s="23" t="inlineStr">
        <is>
          <t>3214929/XAUUSD/2026-07-30_56390633_XAUUSD_buy_win</t>
        </is>
      </c>
    </row>
    <row r="373">
      <c r="A373" s="24" t="n">
        <v>41</v>
      </c>
      <c r="B373" s="26" t="n">
        <v>56390633</v>
      </c>
      <c r="C373" s="27" t="inlineStr">
        <is>
          <t>XAUUSD</t>
        </is>
      </c>
      <c r="D373" s="27" t="inlineStr">
        <is>
          <t>buy</t>
        </is>
      </c>
      <c r="E373" s="27" t="inlineStr">
        <is>
          <t>M1</t>
        </is>
      </c>
      <c r="F373" s="27" t="inlineStr">
        <is>
          <t>open</t>
        </is>
      </c>
      <c r="G373" s="27" t="inlineStr">
        <is>
          <t>Win</t>
        </is>
      </c>
      <c r="H373" s="65" t="inlineStr">
        <is>
          <t>50_56390633_XAUUSD_buy_M1_open_2026-07-30-152200.png</t>
        </is>
      </c>
      <c r="I373" s="23" t="inlineStr">
        <is>
          <t>3214929/XAUUSD/2026-07-30_56390633_XAUUSD_buy_win</t>
        </is>
      </c>
    </row>
    <row r="374">
      <c r="A374" s="24" t="n">
        <v>42</v>
      </c>
      <c r="B374" s="26" t="n">
        <v>56429370</v>
      </c>
      <c r="C374" s="27" t="inlineStr">
        <is>
          <t>DAXEUR</t>
        </is>
      </c>
      <c r="D374" s="27" t="inlineStr">
        <is>
          <t>sell</t>
        </is>
      </c>
      <c r="E374" s="27" t="inlineStr">
        <is>
          <t>H4</t>
        </is>
      </c>
      <c r="F374" s="27" t="inlineStr">
        <is>
          <t>close</t>
        </is>
      </c>
      <c r="G374" s="27" t="inlineStr">
        <is>
          <t>Loss</t>
        </is>
      </c>
      <c r="H374" s="65" t="inlineStr">
        <is>
          <t>10_56429370_DAXEUR_sell_H4_close_2026-07-30-174319.png</t>
        </is>
      </c>
      <c r="I374" s="23" t="inlineStr">
        <is>
          <t>3214929/DAXEUR/2026-07-30_56429370_DAXEUR_sell_loss</t>
        </is>
      </c>
    </row>
    <row r="375">
      <c r="A375" s="24" t="n">
        <v>42</v>
      </c>
      <c r="B375" s="26" t="n">
        <v>56429370</v>
      </c>
      <c r="C375" s="27" t="inlineStr">
        <is>
          <t>DAXEUR</t>
        </is>
      </c>
      <c r="D375" s="27" t="inlineStr">
        <is>
          <t>sell</t>
        </is>
      </c>
      <c r="E375" s="27" t="inlineStr">
        <is>
          <t>H1</t>
        </is>
      </c>
      <c r="F375" s="27" t="inlineStr">
        <is>
          <t>close</t>
        </is>
      </c>
      <c r="G375" s="27" t="inlineStr">
        <is>
          <t>Loss</t>
        </is>
      </c>
      <c r="H375" s="65" t="inlineStr">
        <is>
          <t>20_56429370_DAXEUR_sell_H1_close_2026-07-30-174319.png</t>
        </is>
      </c>
      <c r="I375" s="23" t="inlineStr">
        <is>
          <t>3214929/DAXEUR/2026-07-30_56429370_DAXEUR_sell_loss</t>
        </is>
      </c>
    </row>
    <row r="376">
      <c r="A376" s="24" t="n">
        <v>42</v>
      </c>
      <c r="B376" s="26" t="n">
        <v>56429370</v>
      </c>
      <c r="C376" s="27" t="inlineStr">
        <is>
          <t>DAXEUR</t>
        </is>
      </c>
      <c r="D376" s="27" t="inlineStr">
        <is>
          <t>sell</t>
        </is>
      </c>
      <c r="E376" s="27" t="inlineStr">
        <is>
          <t>M15</t>
        </is>
      </c>
      <c r="F376" s="27" t="inlineStr">
        <is>
          <t>close</t>
        </is>
      </c>
      <c r="G376" s="27" t="inlineStr">
        <is>
          <t>Loss</t>
        </is>
      </c>
      <c r="H376" s="65" t="inlineStr">
        <is>
          <t>30_56429370_DAXEUR_sell_M15_close_2026-07-30-174319.png</t>
        </is>
      </c>
      <c r="I376" s="23" t="inlineStr">
        <is>
          <t>3214929/DAXEUR/2026-07-30_56429370_DAXEUR_sell_loss</t>
        </is>
      </c>
    </row>
    <row r="377">
      <c r="A377" s="24" t="n">
        <v>42</v>
      </c>
      <c r="B377" s="26" t="n">
        <v>56429370</v>
      </c>
      <c r="C377" s="27" t="inlineStr">
        <is>
          <t>DAXEUR</t>
        </is>
      </c>
      <c r="D377" s="27" t="inlineStr">
        <is>
          <t>sell</t>
        </is>
      </c>
      <c r="E377" s="27" t="inlineStr">
        <is>
          <t>M15</t>
        </is>
      </c>
      <c r="F377" s="27" t="inlineStr">
        <is>
          <t>open</t>
        </is>
      </c>
      <c r="G377" s="27" t="inlineStr">
        <is>
          <t>Loss</t>
        </is>
      </c>
      <c r="H377" s="65" t="inlineStr">
        <is>
          <t>30_56429370_DAXEUR_sell_M15_open_2026-07-30-173347.png</t>
        </is>
      </c>
      <c r="I377" s="23" t="inlineStr">
        <is>
          <t>3214929/DAXEUR/2026-07-30_56429370_DAXEUR_sell_loss</t>
        </is>
      </c>
    </row>
    <row r="378">
      <c r="A378" s="24" t="n">
        <v>42</v>
      </c>
      <c r="B378" s="26" t="n">
        <v>56429370</v>
      </c>
      <c r="C378" s="27" t="inlineStr">
        <is>
          <t>DAXEUR</t>
        </is>
      </c>
      <c r="D378" s="27" t="inlineStr">
        <is>
          <t>sell</t>
        </is>
      </c>
      <c r="E378" s="27" t="inlineStr">
        <is>
          <t>M5</t>
        </is>
      </c>
      <c r="F378" s="27" t="inlineStr">
        <is>
          <t>close</t>
        </is>
      </c>
      <c r="G378" s="27" t="inlineStr">
        <is>
          <t>Loss</t>
        </is>
      </c>
      <c r="H378" s="65" t="inlineStr">
        <is>
          <t>40_56429370_DAXEUR_sell_M5_close_2026-07-30-174319.png</t>
        </is>
      </c>
      <c r="I378" s="23" t="inlineStr">
        <is>
          <t>3214929/DAXEUR/2026-07-30_56429370_DAXEUR_sell_loss</t>
        </is>
      </c>
    </row>
    <row r="379">
      <c r="A379" s="24" t="n">
        <v>42</v>
      </c>
      <c r="B379" s="26" t="n">
        <v>56429370</v>
      </c>
      <c r="C379" s="27" t="inlineStr">
        <is>
          <t>DAXEUR</t>
        </is>
      </c>
      <c r="D379" s="27" t="inlineStr">
        <is>
          <t>sell</t>
        </is>
      </c>
      <c r="E379" s="27" t="inlineStr">
        <is>
          <t>M5</t>
        </is>
      </c>
      <c r="F379" s="27" t="inlineStr">
        <is>
          <t>open</t>
        </is>
      </c>
      <c r="G379" s="27" t="inlineStr">
        <is>
          <t>Loss</t>
        </is>
      </c>
      <c r="H379" s="65" t="inlineStr">
        <is>
          <t>40_56429370_DAXEUR_sell_M5_open_2026-07-30-173347.png</t>
        </is>
      </c>
      <c r="I379" s="23" t="inlineStr">
        <is>
          <t>3214929/DAXEUR/2026-07-30_56429370_DAXEUR_sell_loss</t>
        </is>
      </c>
    </row>
    <row r="380">
      <c r="A380" s="24" t="n">
        <v>42</v>
      </c>
      <c r="B380" s="26" t="n">
        <v>56429370</v>
      </c>
      <c r="C380" s="27" t="inlineStr">
        <is>
          <t>DAXEUR</t>
        </is>
      </c>
      <c r="D380" s="27" t="inlineStr">
        <is>
          <t>sell</t>
        </is>
      </c>
      <c r="E380" s="27" t="inlineStr">
        <is>
          <t>M1</t>
        </is>
      </c>
      <c r="F380" s="27" t="inlineStr">
        <is>
          <t>close</t>
        </is>
      </c>
      <c r="G380" s="27" t="inlineStr">
        <is>
          <t>Loss</t>
        </is>
      </c>
      <c r="H380" s="65" t="inlineStr">
        <is>
          <t>50_56429370_DAXEUR_sell_M1_close_2026-07-30-174319.png</t>
        </is>
      </c>
      <c r="I380" s="23" t="inlineStr">
        <is>
          <t>3214929/DAXEUR/2026-07-30_56429370_DAXEUR_sell_loss</t>
        </is>
      </c>
    </row>
    <row r="381">
      <c r="A381" s="24" t="n">
        <v>42</v>
      </c>
      <c r="B381" s="26" t="n">
        <v>56429370</v>
      </c>
      <c r="C381" s="27" t="inlineStr">
        <is>
          <t>DAXEUR</t>
        </is>
      </c>
      <c r="D381" s="27" t="inlineStr">
        <is>
          <t>sell</t>
        </is>
      </c>
      <c r="E381" s="27" t="inlineStr">
        <is>
          <t>M1</t>
        </is>
      </c>
      <c r="F381" s="27" t="inlineStr">
        <is>
          <t>journey</t>
        </is>
      </c>
      <c r="G381" s="27" t="inlineStr">
        <is>
          <t>Loss</t>
        </is>
      </c>
      <c r="H381" s="65" t="inlineStr">
        <is>
          <t>50_56429370_DAXEUR_sell_M1_journey_2026-07-30-173347.png</t>
        </is>
      </c>
      <c r="I381" s="23" t="inlineStr">
        <is>
          <t>3214929/DAXEUR/2026-07-30_56429370_DAXEUR_sell_loss</t>
        </is>
      </c>
    </row>
    <row r="382">
      <c r="A382" s="24" t="n">
        <v>42</v>
      </c>
      <c r="B382" s="26" t="n">
        <v>56429370</v>
      </c>
      <c r="C382" s="27" t="inlineStr">
        <is>
          <t>DAXEUR</t>
        </is>
      </c>
      <c r="D382" s="27" t="inlineStr">
        <is>
          <t>sell</t>
        </is>
      </c>
      <c r="E382" s="27" t="inlineStr">
        <is>
          <t>M1</t>
        </is>
      </c>
      <c r="F382" s="27" t="inlineStr">
        <is>
          <t>open</t>
        </is>
      </c>
      <c r="G382" s="27" t="inlineStr">
        <is>
          <t>Loss</t>
        </is>
      </c>
      <c r="H382" s="65" t="inlineStr">
        <is>
          <t>50_56429370_DAXEUR_sell_M1_open_2026-07-30-173347.png</t>
        </is>
      </c>
      <c r="I382" s="23" t="inlineStr">
        <is>
          <t>3214929/DAXEUR/2026-07-30_56429370_DAXEUR_sell_loss</t>
        </is>
      </c>
    </row>
    <row r="383">
      <c r="A383" s="24" t="n">
        <v>43</v>
      </c>
      <c r="B383" s="26" t="n">
        <v>56441184</v>
      </c>
      <c r="C383" s="27" t="inlineStr">
        <is>
          <t>DAXEUR</t>
        </is>
      </c>
      <c r="D383" s="27" t="inlineStr">
        <is>
          <t>sell</t>
        </is>
      </c>
      <c r="E383" s="27" t="inlineStr">
        <is>
          <t>H4</t>
        </is>
      </c>
      <c r="F383" s="27" t="inlineStr">
        <is>
          <t>close</t>
        </is>
      </c>
      <c r="G383" s="27" t="inlineStr">
        <is>
          <t>Loss</t>
        </is>
      </c>
      <c r="H383" s="65" t="inlineStr">
        <is>
          <t>10_56441184_DAXEUR_sell_H4_close_2026-07-30-185914.png</t>
        </is>
      </c>
      <c r="I383" s="23" t="inlineStr">
        <is>
          <t>3214929/DAXEUR/2026-07-30_56441184_DAXEUR_sell_loss</t>
        </is>
      </c>
    </row>
    <row r="384">
      <c r="A384" s="24" t="n">
        <v>43</v>
      </c>
      <c r="B384" s="26" t="n">
        <v>56441184</v>
      </c>
      <c r="C384" s="27" t="inlineStr">
        <is>
          <t>DAXEUR</t>
        </is>
      </c>
      <c r="D384" s="27" t="inlineStr">
        <is>
          <t>sell</t>
        </is>
      </c>
      <c r="E384" s="27" t="inlineStr">
        <is>
          <t>H1</t>
        </is>
      </c>
      <c r="F384" s="27" t="inlineStr">
        <is>
          <t>close</t>
        </is>
      </c>
      <c r="G384" s="27" t="inlineStr">
        <is>
          <t>Loss</t>
        </is>
      </c>
      <c r="H384" s="65" t="inlineStr">
        <is>
          <t>20_56441184_DAXEUR_sell_H1_close_2026-07-30-185914.png</t>
        </is>
      </c>
      <c r="I384" s="23" t="inlineStr">
        <is>
          <t>3214929/DAXEUR/2026-07-30_56441184_DAXEUR_sell_loss</t>
        </is>
      </c>
    </row>
    <row r="385">
      <c r="A385" s="24" t="n">
        <v>43</v>
      </c>
      <c r="B385" s="26" t="n">
        <v>56441184</v>
      </c>
      <c r="C385" s="27" t="inlineStr">
        <is>
          <t>DAXEUR</t>
        </is>
      </c>
      <c r="D385" s="27" t="inlineStr">
        <is>
          <t>sell</t>
        </is>
      </c>
      <c r="E385" s="27" t="inlineStr">
        <is>
          <t>M15</t>
        </is>
      </c>
      <c r="F385" s="27" t="inlineStr">
        <is>
          <t>close</t>
        </is>
      </c>
      <c r="G385" s="27" t="inlineStr">
        <is>
          <t>Loss</t>
        </is>
      </c>
      <c r="H385" s="65" t="inlineStr">
        <is>
          <t>30_56441184_DAXEUR_sell_M15_close_2026-07-30-185914.png</t>
        </is>
      </c>
      <c r="I385" s="23" t="inlineStr">
        <is>
          <t>3214929/DAXEUR/2026-07-30_56441184_DAXEUR_sell_loss</t>
        </is>
      </c>
    </row>
    <row r="386">
      <c r="A386" s="24" t="n">
        <v>43</v>
      </c>
      <c r="B386" s="26" t="n">
        <v>56441184</v>
      </c>
      <c r="C386" s="27" t="inlineStr">
        <is>
          <t>DAXEUR</t>
        </is>
      </c>
      <c r="D386" s="27" t="inlineStr">
        <is>
          <t>sell</t>
        </is>
      </c>
      <c r="E386" s="27" t="inlineStr">
        <is>
          <t>M15</t>
        </is>
      </c>
      <c r="F386" s="27" t="inlineStr">
        <is>
          <t>open</t>
        </is>
      </c>
      <c r="G386" s="27" t="inlineStr">
        <is>
          <t>Loss</t>
        </is>
      </c>
      <c r="H386" s="65" t="inlineStr">
        <is>
          <t>30_56441184_DAXEUR_sell_M15_open_2026-07-30-185146.png</t>
        </is>
      </c>
      <c r="I386" s="23" t="inlineStr">
        <is>
          <t>3214929/DAXEUR/2026-07-30_56441184_DAXEUR_sell_loss</t>
        </is>
      </c>
    </row>
    <row r="387">
      <c r="A387" s="24" t="n">
        <v>43</v>
      </c>
      <c r="B387" s="26" t="n">
        <v>56441184</v>
      </c>
      <c r="C387" s="27" t="inlineStr">
        <is>
          <t>DAXEUR</t>
        </is>
      </c>
      <c r="D387" s="27" t="inlineStr">
        <is>
          <t>sell</t>
        </is>
      </c>
      <c r="E387" s="27" t="inlineStr">
        <is>
          <t>M5</t>
        </is>
      </c>
      <c r="F387" s="27" t="inlineStr">
        <is>
          <t>close</t>
        </is>
      </c>
      <c r="G387" s="27" t="inlineStr">
        <is>
          <t>Loss</t>
        </is>
      </c>
      <c r="H387" s="65" t="inlineStr">
        <is>
          <t>40_56441184_DAXEUR_sell_M5_close_2026-07-30-185914.png</t>
        </is>
      </c>
      <c r="I387" s="23" t="inlineStr">
        <is>
          <t>3214929/DAXEUR/2026-07-30_56441184_DAXEUR_sell_loss</t>
        </is>
      </c>
    </row>
    <row r="388">
      <c r="A388" s="24" t="n">
        <v>43</v>
      </c>
      <c r="B388" s="26" t="n">
        <v>56441184</v>
      </c>
      <c r="C388" s="27" t="inlineStr">
        <is>
          <t>DAXEUR</t>
        </is>
      </c>
      <c r="D388" s="27" t="inlineStr">
        <is>
          <t>sell</t>
        </is>
      </c>
      <c r="E388" s="27" t="inlineStr">
        <is>
          <t>M5</t>
        </is>
      </c>
      <c r="F388" s="27" t="inlineStr">
        <is>
          <t>open</t>
        </is>
      </c>
      <c r="G388" s="27" t="inlineStr">
        <is>
          <t>Loss</t>
        </is>
      </c>
      <c r="H388" s="65" t="inlineStr">
        <is>
          <t>40_56441184_DAXEUR_sell_M5_open_2026-07-30-185146.png</t>
        </is>
      </c>
      <c r="I388" s="23" t="inlineStr">
        <is>
          <t>3214929/DAXEUR/2026-07-30_56441184_DAXEUR_sell_loss</t>
        </is>
      </c>
    </row>
    <row r="389">
      <c r="A389" s="24" t="n">
        <v>43</v>
      </c>
      <c r="B389" s="26" t="n">
        <v>56441184</v>
      </c>
      <c r="C389" s="27" t="inlineStr">
        <is>
          <t>DAXEUR</t>
        </is>
      </c>
      <c r="D389" s="27" t="inlineStr">
        <is>
          <t>sell</t>
        </is>
      </c>
      <c r="E389" s="27" t="inlineStr">
        <is>
          <t>M1</t>
        </is>
      </c>
      <c r="F389" s="27" t="inlineStr">
        <is>
          <t>close</t>
        </is>
      </c>
      <c r="G389" s="27" t="inlineStr">
        <is>
          <t>Loss</t>
        </is>
      </c>
      <c r="H389" s="65" t="inlineStr">
        <is>
          <t>50_56441184_DAXEUR_sell_M1_close_2026-07-30-185914.png</t>
        </is>
      </c>
      <c r="I389" s="23" t="inlineStr">
        <is>
          <t>3214929/DAXEUR/2026-07-30_56441184_DAXEUR_sell_loss</t>
        </is>
      </c>
    </row>
    <row r="390">
      <c r="A390" s="24" t="n">
        <v>43</v>
      </c>
      <c r="B390" s="26" t="n">
        <v>56441184</v>
      </c>
      <c r="C390" s="27" t="inlineStr">
        <is>
          <t>DAXEUR</t>
        </is>
      </c>
      <c r="D390" s="27" t="inlineStr">
        <is>
          <t>sell</t>
        </is>
      </c>
      <c r="E390" s="27" t="inlineStr">
        <is>
          <t>M1</t>
        </is>
      </c>
      <c r="F390" s="27" t="inlineStr">
        <is>
          <t>journey</t>
        </is>
      </c>
      <c r="G390" s="27" t="inlineStr">
        <is>
          <t>Loss</t>
        </is>
      </c>
      <c r="H390" s="65" t="inlineStr">
        <is>
          <t>50_56441184_DAXEUR_sell_M1_journey_2026-07-30-185146.png</t>
        </is>
      </c>
      <c r="I390" s="23" t="inlineStr">
        <is>
          <t>3214929/DAXEUR/2026-07-30_56441184_DAXEUR_sell_loss</t>
        </is>
      </c>
    </row>
    <row r="391">
      <c r="A391" s="24" t="n">
        <v>43</v>
      </c>
      <c r="B391" s="26" t="n">
        <v>56441184</v>
      </c>
      <c r="C391" s="27" t="inlineStr">
        <is>
          <t>DAXEUR</t>
        </is>
      </c>
      <c r="D391" s="27" t="inlineStr">
        <is>
          <t>sell</t>
        </is>
      </c>
      <c r="E391" s="27" t="inlineStr">
        <is>
          <t>M1</t>
        </is>
      </c>
      <c r="F391" s="27" t="inlineStr">
        <is>
          <t>open</t>
        </is>
      </c>
      <c r="G391" s="27" t="inlineStr">
        <is>
          <t>Loss</t>
        </is>
      </c>
      <c r="H391" s="65" t="inlineStr">
        <is>
          <t>50_56441184_DAXEUR_sell_M1_open_2026-07-30-185146.png</t>
        </is>
      </c>
      <c r="I391" s="23" t="inlineStr">
        <is>
          <t>3214929/DAXEUR/2026-07-30_56441184_DAXEUR_sell_loss</t>
        </is>
      </c>
    </row>
    <row r="392">
      <c r="A392" s="24" t="n">
        <v>44</v>
      </c>
      <c r="B392" s="26" t="n">
        <v>56431283</v>
      </c>
      <c r="C392" s="27" t="inlineStr">
        <is>
          <t>DAXEUR</t>
        </is>
      </c>
      <c r="D392" s="27" t="inlineStr">
        <is>
          <t>sell</t>
        </is>
      </c>
      <c r="E392" s="27" t="inlineStr">
        <is>
          <t>H4</t>
        </is>
      </c>
      <c r="F392" s="27" t="inlineStr">
        <is>
          <t>close</t>
        </is>
      </c>
      <c r="G392" s="27" t="inlineStr">
        <is>
          <t>Loss</t>
        </is>
      </c>
      <c r="H392" s="65" t="inlineStr">
        <is>
          <t>10_56431283_DAXEUR_sell_H4_close_2026-07-30-185914.png</t>
        </is>
      </c>
      <c r="I392" s="23" t="inlineStr">
        <is>
          <t>3214929/DAXEUR/2026-07-30_56431283_DAXEUR_sell_loss</t>
        </is>
      </c>
    </row>
    <row r="393">
      <c r="A393" s="24" t="n">
        <v>44</v>
      </c>
      <c r="B393" s="26" t="n">
        <v>56431283</v>
      </c>
      <c r="C393" s="27" t="inlineStr">
        <is>
          <t>DAXEUR</t>
        </is>
      </c>
      <c r="D393" s="27" t="inlineStr">
        <is>
          <t>sell</t>
        </is>
      </c>
      <c r="E393" s="27" t="inlineStr">
        <is>
          <t>H1</t>
        </is>
      </c>
      <c r="F393" s="27" t="inlineStr">
        <is>
          <t>close</t>
        </is>
      </c>
      <c r="G393" s="27" t="inlineStr">
        <is>
          <t>Loss</t>
        </is>
      </c>
      <c r="H393" s="65" t="inlineStr">
        <is>
          <t>20_56431283_DAXEUR_sell_H1_close_2026-07-30-185914.png</t>
        </is>
      </c>
      <c r="I393" s="23" t="inlineStr">
        <is>
          <t>3214929/DAXEUR/2026-07-30_56431283_DAXEUR_sell_loss</t>
        </is>
      </c>
    </row>
    <row r="394">
      <c r="A394" s="24" t="n">
        <v>44</v>
      </c>
      <c r="B394" s="26" t="n">
        <v>56431283</v>
      </c>
      <c r="C394" s="27" t="inlineStr">
        <is>
          <t>DAXEUR</t>
        </is>
      </c>
      <c r="D394" s="27" t="inlineStr">
        <is>
          <t>sell</t>
        </is>
      </c>
      <c r="E394" s="27" t="inlineStr">
        <is>
          <t>M15</t>
        </is>
      </c>
      <c r="F394" s="27" t="inlineStr">
        <is>
          <t>close</t>
        </is>
      </c>
      <c r="G394" s="27" t="inlineStr">
        <is>
          <t>Loss</t>
        </is>
      </c>
      <c r="H394" s="65" t="inlineStr">
        <is>
          <t>30_56431283_DAXEUR_sell_M15_close_2026-07-30-185914.png</t>
        </is>
      </c>
      <c r="I394" s="23" t="inlineStr">
        <is>
          <t>3214929/DAXEUR/2026-07-30_56431283_DAXEUR_sell_loss</t>
        </is>
      </c>
    </row>
    <row r="395">
      <c r="A395" s="24" t="n">
        <v>44</v>
      </c>
      <c r="B395" s="26" t="n">
        <v>56431283</v>
      </c>
      <c r="C395" s="27" t="inlineStr">
        <is>
          <t>DAXEUR</t>
        </is>
      </c>
      <c r="D395" s="27" t="inlineStr">
        <is>
          <t>sell</t>
        </is>
      </c>
      <c r="E395" s="27" t="inlineStr">
        <is>
          <t>M15</t>
        </is>
      </c>
      <c r="F395" s="27" t="inlineStr">
        <is>
          <t>open</t>
        </is>
      </c>
      <c r="G395" s="27" t="inlineStr">
        <is>
          <t>Loss</t>
        </is>
      </c>
      <c r="H395" s="65" t="inlineStr">
        <is>
          <t>30_56431283_DAXEUR_sell_M15_open_2026-07-30-174130.png</t>
        </is>
      </c>
      <c r="I395" s="23" t="inlineStr">
        <is>
          <t>3214929/DAXEUR/2026-07-30_56431283_DAXEUR_sell_loss</t>
        </is>
      </c>
    </row>
    <row r="396">
      <c r="A396" s="24" t="n">
        <v>44</v>
      </c>
      <c r="B396" s="26" t="n">
        <v>56431283</v>
      </c>
      <c r="C396" s="27" t="inlineStr">
        <is>
          <t>DAXEUR</t>
        </is>
      </c>
      <c r="D396" s="27" t="inlineStr">
        <is>
          <t>sell</t>
        </is>
      </c>
      <c r="E396" s="27" t="inlineStr">
        <is>
          <t>M5</t>
        </is>
      </c>
      <c r="F396" s="27" t="inlineStr">
        <is>
          <t>close</t>
        </is>
      </c>
      <c r="G396" s="27" t="inlineStr">
        <is>
          <t>Loss</t>
        </is>
      </c>
      <c r="H396" s="65" t="inlineStr">
        <is>
          <t>40_56431283_DAXEUR_sell_M5_close_2026-07-30-185914.png</t>
        </is>
      </c>
      <c r="I396" s="23" t="inlineStr">
        <is>
          <t>3214929/DAXEUR/2026-07-30_56431283_DAXEUR_sell_loss</t>
        </is>
      </c>
    </row>
    <row r="397">
      <c r="A397" s="24" t="n">
        <v>44</v>
      </c>
      <c r="B397" s="26" t="n">
        <v>56431283</v>
      </c>
      <c r="C397" s="27" t="inlineStr">
        <is>
          <t>DAXEUR</t>
        </is>
      </c>
      <c r="D397" s="27" t="inlineStr">
        <is>
          <t>sell</t>
        </is>
      </c>
      <c r="E397" s="27" t="inlineStr">
        <is>
          <t>M5</t>
        </is>
      </c>
      <c r="F397" s="27" t="inlineStr">
        <is>
          <t>open</t>
        </is>
      </c>
      <c r="G397" s="27" t="inlineStr">
        <is>
          <t>Loss</t>
        </is>
      </c>
      <c r="H397" s="65" t="inlineStr">
        <is>
          <t>40_56431283_DAXEUR_sell_M5_open_2026-07-30-174130.png</t>
        </is>
      </c>
      <c r="I397" s="23" t="inlineStr">
        <is>
          <t>3214929/DAXEUR/2026-07-30_56431283_DAXEUR_sell_loss</t>
        </is>
      </c>
    </row>
    <row r="398">
      <c r="A398" s="24" t="n">
        <v>44</v>
      </c>
      <c r="B398" s="26" t="n">
        <v>56431283</v>
      </c>
      <c r="C398" s="27" t="inlineStr">
        <is>
          <t>DAXEUR</t>
        </is>
      </c>
      <c r="D398" s="27" t="inlineStr">
        <is>
          <t>sell</t>
        </is>
      </c>
      <c r="E398" s="27" t="inlineStr">
        <is>
          <t>M1</t>
        </is>
      </c>
      <c r="F398" s="27" t="inlineStr">
        <is>
          <t>close</t>
        </is>
      </c>
      <c r="G398" s="27" t="inlineStr">
        <is>
          <t>Loss</t>
        </is>
      </c>
      <c r="H398" s="65" t="inlineStr">
        <is>
          <t>50_56431283_DAXEUR_sell_M1_close_2026-07-30-185914.png</t>
        </is>
      </c>
      <c r="I398" s="23" t="inlineStr">
        <is>
          <t>3214929/DAXEUR/2026-07-30_56431283_DAXEUR_sell_loss</t>
        </is>
      </c>
    </row>
    <row r="399">
      <c r="A399" s="24" t="n">
        <v>44</v>
      </c>
      <c r="B399" s="26" t="n">
        <v>56431283</v>
      </c>
      <c r="C399" s="27" t="inlineStr">
        <is>
          <t>DAXEUR</t>
        </is>
      </c>
      <c r="D399" s="27" t="inlineStr">
        <is>
          <t>sell</t>
        </is>
      </c>
      <c r="E399" s="27" t="inlineStr">
        <is>
          <t>M1</t>
        </is>
      </c>
      <c r="F399" s="27" t="inlineStr">
        <is>
          <t>journey</t>
        </is>
      </c>
      <c r="G399" s="27" t="inlineStr">
        <is>
          <t>Loss</t>
        </is>
      </c>
      <c r="H399" s="65" t="inlineStr">
        <is>
          <t>50_56431283_DAXEUR_sell_M1_journey_2026-07-30-174130.png</t>
        </is>
      </c>
      <c r="I399" s="23" t="inlineStr">
        <is>
          <t>3214929/DAXEUR/2026-07-30_56431283_DAXEUR_sell_loss</t>
        </is>
      </c>
    </row>
    <row r="400">
      <c r="A400" s="24" t="n">
        <v>44</v>
      </c>
      <c r="B400" s="26" t="n">
        <v>56431283</v>
      </c>
      <c r="C400" s="27" t="inlineStr">
        <is>
          <t>DAXEUR</t>
        </is>
      </c>
      <c r="D400" s="27" t="inlineStr">
        <is>
          <t>sell</t>
        </is>
      </c>
      <c r="E400" s="27" t="inlineStr">
        <is>
          <t>M1</t>
        </is>
      </c>
      <c r="F400" s="27" t="inlineStr">
        <is>
          <t>open</t>
        </is>
      </c>
      <c r="G400" s="27" t="inlineStr">
        <is>
          <t>Loss</t>
        </is>
      </c>
      <c r="H400" s="65" t="inlineStr">
        <is>
          <t>50_56431283_DAXEUR_sell_M1_open_2026-07-30-174130.png</t>
        </is>
      </c>
      <c r="I400" s="23" t="inlineStr">
        <is>
          <t>3214929/DAXEUR/2026-07-30_56431283_DAXEUR_sell_loss</t>
        </is>
      </c>
    </row>
    <row r="401">
      <c r="A401" s="24" t="n">
        <v>45</v>
      </c>
      <c r="B401" s="26" t="n">
        <v>56441872</v>
      </c>
      <c r="C401" s="27" t="inlineStr">
        <is>
          <t>DAXEUR</t>
        </is>
      </c>
      <c r="D401" s="27" t="inlineStr">
        <is>
          <t>sell</t>
        </is>
      </c>
      <c r="E401" s="27" t="inlineStr">
        <is>
          <t>H4</t>
        </is>
      </c>
      <c r="F401" s="27" t="inlineStr">
        <is>
          <t>close</t>
        </is>
      </c>
      <c r="G401" s="27" t="inlineStr">
        <is>
          <t>Loss</t>
        </is>
      </c>
      <c r="H401" s="65" t="inlineStr">
        <is>
          <t>10_56441872_DAXEUR_sell_H4_close_2026-07-30-190204.png</t>
        </is>
      </c>
      <c r="I401" s="23" t="inlineStr">
        <is>
          <t>3214929/DAXEUR/2026-07-30_56441872_DAXEUR_sell_loss</t>
        </is>
      </c>
    </row>
    <row r="402">
      <c r="A402" s="24" t="n">
        <v>45</v>
      </c>
      <c r="B402" s="26" t="n">
        <v>56441872</v>
      </c>
      <c r="C402" s="27" t="inlineStr">
        <is>
          <t>DAXEUR</t>
        </is>
      </c>
      <c r="D402" s="27" t="inlineStr">
        <is>
          <t>sell</t>
        </is>
      </c>
      <c r="E402" s="27" t="inlineStr">
        <is>
          <t>H1</t>
        </is>
      </c>
      <c r="F402" s="27" t="inlineStr">
        <is>
          <t>close</t>
        </is>
      </c>
      <c r="G402" s="27" t="inlineStr">
        <is>
          <t>Loss</t>
        </is>
      </c>
      <c r="H402" s="65" t="inlineStr">
        <is>
          <t>20_56441872_DAXEUR_sell_H1_close_2026-07-30-190204.png</t>
        </is>
      </c>
      <c r="I402" s="23" t="inlineStr">
        <is>
          <t>3214929/DAXEUR/2026-07-30_56441872_DAXEUR_sell_loss</t>
        </is>
      </c>
    </row>
    <row r="403">
      <c r="A403" s="24" t="n">
        <v>45</v>
      </c>
      <c r="B403" s="26" t="n">
        <v>56441872</v>
      </c>
      <c r="C403" s="27" t="inlineStr">
        <is>
          <t>DAXEUR</t>
        </is>
      </c>
      <c r="D403" s="27" t="inlineStr">
        <is>
          <t>sell</t>
        </is>
      </c>
      <c r="E403" s="27" t="inlineStr">
        <is>
          <t>M15</t>
        </is>
      </c>
      <c r="F403" s="27" t="inlineStr">
        <is>
          <t>close</t>
        </is>
      </c>
      <c r="G403" s="27" t="inlineStr">
        <is>
          <t>Loss</t>
        </is>
      </c>
      <c r="H403" s="65" t="inlineStr">
        <is>
          <t>30_56441872_DAXEUR_sell_M15_close_2026-07-30-190204.png</t>
        </is>
      </c>
      <c r="I403" s="23" t="inlineStr">
        <is>
          <t>3214929/DAXEUR/2026-07-30_56441872_DAXEUR_sell_loss</t>
        </is>
      </c>
    </row>
    <row r="404">
      <c r="A404" s="24" t="n">
        <v>45</v>
      </c>
      <c r="B404" s="26" t="n">
        <v>56441872</v>
      </c>
      <c r="C404" s="27" t="inlineStr">
        <is>
          <t>DAXEUR</t>
        </is>
      </c>
      <c r="D404" s="27" t="inlineStr">
        <is>
          <t>sell</t>
        </is>
      </c>
      <c r="E404" s="27" t="inlineStr">
        <is>
          <t>M15</t>
        </is>
      </c>
      <c r="F404" s="27" t="inlineStr">
        <is>
          <t>open</t>
        </is>
      </c>
      <c r="G404" s="27" t="inlineStr">
        <is>
          <t>Loss</t>
        </is>
      </c>
      <c r="H404" s="65" t="inlineStr">
        <is>
          <t>30_56441872_DAXEUR_sell_M15_open_2026-07-30-185600.png</t>
        </is>
      </c>
      <c r="I404" s="23" t="inlineStr">
        <is>
          <t>3214929/DAXEUR/2026-07-30_56441872_DAXEUR_sell_loss</t>
        </is>
      </c>
    </row>
    <row r="405">
      <c r="A405" s="24" t="n">
        <v>45</v>
      </c>
      <c r="B405" s="26" t="n">
        <v>56441872</v>
      </c>
      <c r="C405" s="27" t="inlineStr">
        <is>
          <t>DAXEUR</t>
        </is>
      </c>
      <c r="D405" s="27" t="inlineStr">
        <is>
          <t>sell</t>
        </is>
      </c>
      <c r="E405" s="27" t="inlineStr">
        <is>
          <t>M5</t>
        </is>
      </c>
      <c r="F405" s="27" t="inlineStr">
        <is>
          <t>close</t>
        </is>
      </c>
      <c r="G405" s="27" t="inlineStr">
        <is>
          <t>Loss</t>
        </is>
      </c>
      <c r="H405" s="65" t="inlineStr">
        <is>
          <t>40_56441872_DAXEUR_sell_M5_close_2026-07-30-190204.png</t>
        </is>
      </c>
      <c r="I405" s="23" t="inlineStr">
        <is>
          <t>3214929/DAXEUR/2026-07-30_56441872_DAXEUR_sell_loss</t>
        </is>
      </c>
    </row>
    <row r="406">
      <c r="A406" s="24" t="n">
        <v>45</v>
      </c>
      <c r="B406" s="26" t="n">
        <v>56441872</v>
      </c>
      <c r="C406" s="27" t="inlineStr">
        <is>
          <t>DAXEUR</t>
        </is>
      </c>
      <c r="D406" s="27" t="inlineStr">
        <is>
          <t>sell</t>
        </is>
      </c>
      <c r="E406" s="27" t="inlineStr">
        <is>
          <t>M5</t>
        </is>
      </c>
      <c r="F406" s="27" t="inlineStr">
        <is>
          <t>open</t>
        </is>
      </c>
      <c r="G406" s="27" t="inlineStr">
        <is>
          <t>Loss</t>
        </is>
      </c>
      <c r="H406" s="65" t="inlineStr">
        <is>
          <t>40_56441872_DAXEUR_sell_M5_open_2026-07-30-185600.png</t>
        </is>
      </c>
      <c r="I406" s="23" t="inlineStr">
        <is>
          <t>3214929/DAXEUR/2026-07-30_56441872_DAXEUR_sell_loss</t>
        </is>
      </c>
    </row>
    <row r="407">
      <c r="A407" s="24" t="n">
        <v>45</v>
      </c>
      <c r="B407" s="26" t="n">
        <v>56441872</v>
      </c>
      <c r="C407" s="27" t="inlineStr">
        <is>
          <t>DAXEUR</t>
        </is>
      </c>
      <c r="D407" s="27" t="inlineStr">
        <is>
          <t>sell</t>
        </is>
      </c>
      <c r="E407" s="27" t="inlineStr">
        <is>
          <t>M1</t>
        </is>
      </c>
      <c r="F407" s="27" t="inlineStr">
        <is>
          <t>close</t>
        </is>
      </c>
      <c r="G407" s="27" t="inlineStr">
        <is>
          <t>Loss</t>
        </is>
      </c>
      <c r="H407" s="65" t="inlineStr">
        <is>
          <t>50_56441872_DAXEUR_sell_M1_close_2026-07-30-190204.png</t>
        </is>
      </c>
      <c r="I407" s="23" t="inlineStr">
        <is>
          <t>3214929/DAXEUR/2026-07-30_56441872_DAXEUR_sell_loss</t>
        </is>
      </c>
    </row>
    <row r="408">
      <c r="A408" s="24" t="n">
        <v>45</v>
      </c>
      <c r="B408" s="26" t="n">
        <v>56441872</v>
      </c>
      <c r="C408" s="27" t="inlineStr">
        <is>
          <t>DAXEUR</t>
        </is>
      </c>
      <c r="D408" s="27" t="inlineStr">
        <is>
          <t>sell</t>
        </is>
      </c>
      <c r="E408" s="27" t="inlineStr">
        <is>
          <t>M1</t>
        </is>
      </c>
      <c r="F408" s="27" t="inlineStr">
        <is>
          <t>journey</t>
        </is>
      </c>
      <c r="G408" s="27" t="inlineStr">
        <is>
          <t>Loss</t>
        </is>
      </c>
      <c r="H408" s="65" t="inlineStr">
        <is>
          <t>50_56441872_DAXEUR_sell_M1_journey_2026-07-30-185600.png</t>
        </is>
      </c>
      <c r="I408" s="23" t="inlineStr">
        <is>
          <t>3214929/DAXEUR/2026-07-30_56441872_DAXEUR_sell_loss</t>
        </is>
      </c>
    </row>
    <row r="409">
      <c r="A409" s="24" t="n">
        <v>45</v>
      </c>
      <c r="B409" s="26" t="n">
        <v>56441872</v>
      </c>
      <c r="C409" s="27" t="inlineStr">
        <is>
          <t>DAXEUR</t>
        </is>
      </c>
      <c r="D409" s="27" t="inlineStr">
        <is>
          <t>sell</t>
        </is>
      </c>
      <c r="E409" s="27" t="inlineStr">
        <is>
          <t>M1</t>
        </is>
      </c>
      <c r="F409" s="27" t="inlineStr">
        <is>
          <t>open</t>
        </is>
      </c>
      <c r="G409" s="27" t="inlineStr">
        <is>
          <t>Loss</t>
        </is>
      </c>
      <c r="H409" s="65" t="inlineStr">
        <is>
          <t>50_56441872_DAXEUR_sell_M1_open_2026-07-30-185600.png</t>
        </is>
      </c>
      <c r="I409" s="23" t="inlineStr">
        <is>
          <t>3214929/DAXEUR/2026-07-30_56441872_DAXEUR_sell_loss</t>
        </is>
      </c>
    </row>
    <row r="410">
      <c r="A410" s="24" t="n">
        <v>46</v>
      </c>
      <c r="B410" s="26" t="n">
        <v>56432997</v>
      </c>
      <c r="C410" s="27" t="inlineStr">
        <is>
          <t>XAUUSD</t>
        </is>
      </c>
      <c r="D410" s="27" t="inlineStr">
        <is>
          <t>sell</t>
        </is>
      </c>
      <c r="E410" s="27" t="inlineStr">
        <is>
          <t>H4</t>
        </is>
      </c>
      <c r="F410" s="27" t="inlineStr">
        <is>
          <t>close</t>
        </is>
      </c>
      <c r="G410" s="27" t="inlineStr">
        <is>
          <t>Loss</t>
        </is>
      </c>
      <c r="H410" s="65" t="inlineStr">
        <is>
          <t>10_56432997_XAUUSD_sell_H4_close_2026-07-30-191722.png</t>
        </is>
      </c>
      <c r="I410" s="23" t="inlineStr">
        <is>
          <t>3214929/XAUUSD/2026-07-30_56432997_XAUUSD_sell_loss</t>
        </is>
      </c>
    </row>
    <row r="411">
      <c r="A411" s="24" t="n">
        <v>46</v>
      </c>
      <c r="B411" s="26" t="n">
        <v>56432997</v>
      </c>
      <c r="C411" s="27" t="inlineStr">
        <is>
          <t>XAUUSD</t>
        </is>
      </c>
      <c r="D411" s="27" t="inlineStr">
        <is>
          <t>sell</t>
        </is>
      </c>
      <c r="E411" s="27" t="inlineStr">
        <is>
          <t>H1</t>
        </is>
      </c>
      <c r="F411" s="27" t="inlineStr">
        <is>
          <t>close</t>
        </is>
      </c>
      <c r="G411" s="27" t="inlineStr">
        <is>
          <t>Loss</t>
        </is>
      </c>
      <c r="H411" s="65" t="inlineStr">
        <is>
          <t>20_56432997_XAUUSD_sell_H1_close_2026-07-30-191722.png</t>
        </is>
      </c>
      <c r="I411" s="23" t="inlineStr">
        <is>
          <t>3214929/XAUUSD/2026-07-30_56432997_XAUUSD_sell_loss</t>
        </is>
      </c>
    </row>
    <row r="412">
      <c r="A412" s="24" t="n">
        <v>46</v>
      </c>
      <c r="B412" s="26" t="n">
        <v>56432997</v>
      </c>
      <c r="C412" s="27" t="inlineStr">
        <is>
          <t>XAUUSD</t>
        </is>
      </c>
      <c r="D412" s="27" t="inlineStr">
        <is>
          <t>sell</t>
        </is>
      </c>
      <c r="E412" s="27" t="inlineStr">
        <is>
          <t>M15</t>
        </is>
      </c>
      <c r="F412" s="27" t="inlineStr">
        <is>
          <t>close</t>
        </is>
      </c>
      <c r="G412" s="27" t="inlineStr">
        <is>
          <t>Loss</t>
        </is>
      </c>
      <c r="H412" s="65" t="inlineStr">
        <is>
          <t>30_56432997_XAUUSD_sell_M15_close_2026-07-30-191722.png</t>
        </is>
      </c>
      <c r="I412" s="23" t="inlineStr">
        <is>
          <t>3214929/XAUUSD/2026-07-30_56432997_XAUUSD_sell_loss</t>
        </is>
      </c>
    </row>
    <row r="413">
      <c r="A413" s="24" t="n">
        <v>46</v>
      </c>
      <c r="B413" s="26" t="n">
        <v>56432997</v>
      </c>
      <c r="C413" s="27" t="inlineStr">
        <is>
          <t>XAUUSD</t>
        </is>
      </c>
      <c r="D413" s="27" t="inlineStr">
        <is>
          <t>sell</t>
        </is>
      </c>
      <c r="E413" s="27" t="inlineStr">
        <is>
          <t>M15</t>
        </is>
      </c>
      <c r="F413" s="27" t="inlineStr">
        <is>
          <t>open</t>
        </is>
      </c>
      <c r="G413" s="27" t="inlineStr">
        <is>
          <t>Loss</t>
        </is>
      </c>
      <c r="H413" s="65" t="inlineStr">
        <is>
          <t>30_56432997_XAUUSD_sell_M15_open_2026-07-30-180943.png</t>
        </is>
      </c>
      <c r="I413" s="23" t="inlineStr">
        <is>
          <t>3214929/XAUUSD/2026-07-30_56432997_XAUUSD_sell_loss</t>
        </is>
      </c>
    </row>
    <row r="414">
      <c r="A414" s="24" t="n">
        <v>46</v>
      </c>
      <c r="B414" s="26" t="n">
        <v>56432997</v>
      </c>
      <c r="C414" s="27" t="inlineStr">
        <is>
          <t>XAUUSD</t>
        </is>
      </c>
      <c r="D414" s="27" t="inlineStr">
        <is>
          <t>sell</t>
        </is>
      </c>
      <c r="E414" s="27" t="inlineStr">
        <is>
          <t>M5</t>
        </is>
      </c>
      <c r="F414" s="27" t="inlineStr">
        <is>
          <t>close</t>
        </is>
      </c>
      <c r="G414" s="27" t="inlineStr">
        <is>
          <t>Loss</t>
        </is>
      </c>
      <c r="H414" s="65" t="inlineStr">
        <is>
          <t>40_56432997_XAUUSD_sell_M5_close_2026-07-30-191722.png</t>
        </is>
      </c>
      <c r="I414" s="23" t="inlineStr">
        <is>
          <t>3214929/XAUUSD/2026-07-30_56432997_XAUUSD_sell_loss</t>
        </is>
      </c>
    </row>
    <row r="415">
      <c r="A415" s="24" t="n">
        <v>46</v>
      </c>
      <c r="B415" s="26" t="n">
        <v>56432997</v>
      </c>
      <c r="C415" s="27" t="inlineStr">
        <is>
          <t>XAUUSD</t>
        </is>
      </c>
      <c r="D415" s="27" t="inlineStr">
        <is>
          <t>sell</t>
        </is>
      </c>
      <c r="E415" s="27" t="inlineStr">
        <is>
          <t>M5</t>
        </is>
      </c>
      <c r="F415" s="27" t="inlineStr">
        <is>
          <t>open</t>
        </is>
      </c>
      <c r="G415" s="27" t="inlineStr">
        <is>
          <t>Loss</t>
        </is>
      </c>
      <c r="H415" s="65" t="inlineStr">
        <is>
          <t>40_56432997_XAUUSD_sell_M5_open_2026-07-30-180943.png</t>
        </is>
      </c>
      <c r="I415" s="23" t="inlineStr">
        <is>
          <t>3214929/XAUUSD/2026-07-30_56432997_XAUUSD_sell_loss</t>
        </is>
      </c>
    </row>
    <row r="416">
      <c r="A416" s="24" t="n">
        <v>46</v>
      </c>
      <c r="B416" s="26" t="n">
        <v>56432997</v>
      </c>
      <c r="C416" s="27" t="inlineStr">
        <is>
          <t>XAUUSD</t>
        </is>
      </c>
      <c r="D416" s="27" t="inlineStr">
        <is>
          <t>sell</t>
        </is>
      </c>
      <c r="E416" s="27" t="inlineStr">
        <is>
          <t>M1</t>
        </is>
      </c>
      <c r="F416" s="27" t="inlineStr">
        <is>
          <t>close</t>
        </is>
      </c>
      <c r="G416" s="27" t="inlineStr">
        <is>
          <t>Loss</t>
        </is>
      </c>
      <c r="H416" s="65" t="inlineStr">
        <is>
          <t>50_56432997_XAUUSD_sell_M1_close_2026-07-30-191722.png</t>
        </is>
      </c>
      <c r="I416" s="23" t="inlineStr">
        <is>
          <t>3214929/XAUUSD/2026-07-30_56432997_XAUUSD_sell_loss</t>
        </is>
      </c>
    </row>
    <row r="417">
      <c r="A417" s="24" t="n">
        <v>46</v>
      </c>
      <c r="B417" s="26" t="n">
        <v>56432997</v>
      </c>
      <c r="C417" s="27" t="inlineStr">
        <is>
          <t>XAUUSD</t>
        </is>
      </c>
      <c r="D417" s="27" t="inlineStr">
        <is>
          <t>sell</t>
        </is>
      </c>
      <c r="E417" s="27" t="inlineStr">
        <is>
          <t>M1</t>
        </is>
      </c>
      <c r="F417" s="27" t="inlineStr">
        <is>
          <t>journey</t>
        </is>
      </c>
      <c r="G417" s="27" t="inlineStr">
        <is>
          <t>Loss</t>
        </is>
      </c>
      <c r="H417" s="65" t="inlineStr">
        <is>
          <t>50_56432997_XAUUSD_sell_M1_journey_2026-07-30-180943.png</t>
        </is>
      </c>
      <c r="I417" s="23" t="inlineStr">
        <is>
          <t>3214929/XAUUSD/2026-07-30_56432997_XAUUSD_sell_loss</t>
        </is>
      </c>
    </row>
    <row r="418">
      <c r="A418" s="24" t="n">
        <v>46</v>
      </c>
      <c r="B418" s="26" t="n">
        <v>56432997</v>
      </c>
      <c r="C418" s="27" t="inlineStr">
        <is>
          <t>XAUUSD</t>
        </is>
      </c>
      <c r="D418" s="27" t="inlineStr">
        <is>
          <t>sell</t>
        </is>
      </c>
      <c r="E418" s="27" t="inlineStr">
        <is>
          <t>M1</t>
        </is>
      </c>
      <c r="F418" s="27" t="inlineStr">
        <is>
          <t>open</t>
        </is>
      </c>
      <c r="G418" s="27" t="inlineStr">
        <is>
          <t>Loss</t>
        </is>
      </c>
      <c r="H418" s="65" t="inlineStr">
        <is>
          <t>50_56432997_XAUUSD_sell_M1_open_2026-07-30-180943.png</t>
        </is>
      </c>
      <c r="I418" s="23" t="inlineStr">
        <is>
          <t>3214929/XAUUSD/2026-07-30_56432997_XAUUSD_sell_loss</t>
        </is>
      </c>
    </row>
    <row r="419">
      <c r="A419" s="24" t="n">
        <v>47</v>
      </c>
      <c r="B419" s="26" t="n">
        <v>56578223</v>
      </c>
      <c r="C419" s="27" t="inlineStr">
        <is>
          <t>NDXUSD</t>
        </is>
      </c>
      <c r="D419" s="27" t="inlineStr">
        <is>
          <t>sell</t>
        </is>
      </c>
      <c r="E419" s="27" t="inlineStr">
        <is>
          <t>H4</t>
        </is>
      </c>
      <c r="F419" s="27" t="inlineStr">
        <is>
          <t>close</t>
        </is>
      </c>
      <c r="G419" s="27" t="inlineStr">
        <is>
          <t>Loss</t>
        </is>
      </c>
      <c r="H419" s="65" t="inlineStr">
        <is>
          <t>10_56578223_NDXUSD_sell_H4_close_2026-07-31-110125.png</t>
        </is>
      </c>
      <c r="I419" s="23" t="inlineStr">
        <is>
          <t>3214929/NDXUSD/2026-07-31_56578223_NDXUSD_sell_loss</t>
        </is>
      </c>
    </row>
    <row r="420">
      <c r="A420" s="24" t="n">
        <v>47</v>
      </c>
      <c r="B420" s="26" t="n">
        <v>56578223</v>
      </c>
      <c r="C420" s="27" t="inlineStr">
        <is>
          <t>NDXUSD</t>
        </is>
      </c>
      <c r="D420" s="27" t="inlineStr">
        <is>
          <t>sell</t>
        </is>
      </c>
      <c r="E420" s="27" t="inlineStr">
        <is>
          <t>H1</t>
        </is>
      </c>
      <c r="F420" s="27" t="inlineStr">
        <is>
          <t>close</t>
        </is>
      </c>
      <c r="G420" s="27" t="inlineStr">
        <is>
          <t>Loss</t>
        </is>
      </c>
      <c r="H420" s="65" t="inlineStr">
        <is>
          <t>20_56578223_NDXUSD_sell_H1_close_2026-07-31-110125.png</t>
        </is>
      </c>
      <c r="I420" s="23" t="inlineStr">
        <is>
          <t>3214929/NDXUSD/2026-07-31_56578223_NDXUSD_sell_loss</t>
        </is>
      </c>
    </row>
    <row r="421">
      <c r="A421" s="24" t="n">
        <v>47</v>
      </c>
      <c r="B421" s="26" t="n">
        <v>56578223</v>
      </c>
      <c r="C421" s="27" t="inlineStr">
        <is>
          <t>NDXUSD</t>
        </is>
      </c>
      <c r="D421" s="27" t="inlineStr">
        <is>
          <t>sell</t>
        </is>
      </c>
      <c r="E421" s="27" t="inlineStr">
        <is>
          <t>M15</t>
        </is>
      </c>
      <c r="F421" s="27" t="inlineStr">
        <is>
          <t>close</t>
        </is>
      </c>
      <c r="G421" s="27" t="inlineStr">
        <is>
          <t>Loss</t>
        </is>
      </c>
      <c r="H421" s="65" t="inlineStr">
        <is>
          <t>30_56578223_NDXUSD_sell_M15_close_2026-07-31-110125.png</t>
        </is>
      </c>
      <c r="I421" s="23" t="inlineStr">
        <is>
          <t>3214929/NDXUSD/2026-07-31_56578223_NDXUSD_sell_loss</t>
        </is>
      </c>
    </row>
    <row r="422">
      <c r="A422" s="24" t="n">
        <v>47</v>
      </c>
      <c r="B422" s="26" t="n">
        <v>56578223</v>
      </c>
      <c r="C422" s="27" t="inlineStr">
        <is>
          <t>NDXUSD</t>
        </is>
      </c>
      <c r="D422" s="27" t="inlineStr">
        <is>
          <t>sell</t>
        </is>
      </c>
      <c r="E422" s="27" t="inlineStr">
        <is>
          <t>M15</t>
        </is>
      </c>
      <c r="F422" s="27" t="inlineStr">
        <is>
          <t>open</t>
        </is>
      </c>
      <c r="G422" s="27" t="inlineStr">
        <is>
          <t>Loss</t>
        </is>
      </c>
      <c r="H422" s="65" t="inlineStr">
        <is>
          <t>30_56578223_NDXUSD_sell_M15_open_2026-07-31-105213.png</t>
        </is>
      </c>
      <c r="I422" s="23" t="inlineStr">
        <is>
          <t>3214929/NDXUSD/2026-07-31_56578223_NDXUSD_sell_loss</t>
        </is>
      </c>
    </row>
    <row r="423">
      <c r="A423" s="24" t="n">
        <v>47</v>
      </c>
      <c r="B423" s="26" t="n">
        <v>56578223</v>
      </c>
      <c r="C423" s="27" t="inlineStr">
        <is>
          <t>NDXUSD</t>
        </is>
      </c>
      <c r="D423" s="27" t="inlineStr">
        <is>
          <t>sell</t>
        </is>
      </c>
      <c r="E423" s="27" t="inlineStr">
        <is>
          <t>M5</t>
        </is>
      </c>
      <c r="F423" s="27" t="inlineStr">
        <is>
          <t>close</t>
        </is>
      </c>
      <c r="G423" s="27" t="inlineStr">
        <is>
          <t>Loss</t>
        </is>
      </c>
      <c r="H423" s="65" t="inlineStr">
        <is>
          <t>40_56578223_NDXUSD_sell_M5_close_2026-07-31-110125.png</t>
        </is>
      </c>
      <c r="I423" s="23" t="inlineStr">
        <is>
          <t>3214929/NDXUSD/2026-07-31_56578223_NDXUSD_sell_loss</t>
        </is>
      </c>
    </row>
    <row r="424">
      <c r="A424" s="24" t="n">
        <v>47</v>
      </c>
      <c r="B424" s="26" t="n">
        <v>56578223</v>
      </c>
      <c r="C424" s="27" t="inlineStr">
        <is>
          <t>NDXUSD</t>
        </is>
      </c>
      <c r="D424" s="27" t="inlineStr">
        <is>
          <t>sell</t>
        </is>
      </c>
      <c r="E424" s="27" t="inlineStr">
        <is>
          <t>M5</t>
        </is>
      </c>
      <c r="F424" s="27" t="inlineStr">
        <is>
          <t>open</t>
        </is>
      </c>
      <c r="G424" s="27" t="inlineStr">
        <is>
          <t>Loss</t>
        </is>
      </c>
      <c r="H424" s="65" t="inlineStr">
        <is>
          <t>40_56578223_NDXUSD_sell_M5_open_2026-07-31-105213.png</t>
        </is>
      </c>
      <c r="I424" s="23" t="inlineStr">
        <is>
          <t>3214929/NDXUSD/2026-07-31_56578223_NDXUSD_sell_loss</t>
        </is>
      </c>
    </row>
    <row r="425">
      <c r="A425" s="24" t="n">
        <v>47</v>
      </c>
      <c r="B425" s="26" t="n">
        <v>56578223</v>
      </c>
      <c r="C425" s="27" t="inlineStr">
        <is>
          <t>NDXUSD</t>
        </is>
      </c>
      <c r="D425" s="27" t="inlineStr">
        <is>
          <t>sell</t>
        </is>
      </c>
      <c r="E425" s="27" t="inlineStr">
        <is>
          <t>M1</t>
        </is>
      </c>
      <c r="F425" s="27" t="inlineStr">
        <is>
          <t>close</t>
        </is>
      </c>
      <c r="G425" s="27" t="inlineStr">
        <is>
          <t>Loss</t>
        </is>
      </c>
      <c r="H425" s="65" t="inlineStr">
        <is>
          <t>50_56578223_NDXUSD_sell_M1_close_2026-07-31-110125.png</t>
        </is>
      </c>
      <c r="I425" s="23" t="inlineStr">
        <is>
          <t>3214929/NDXUSD/2026-07-31_56578223_NDXUSD_sell_loss</t>
        </is>
      </c>
    </row>
    <row r="426">
      <c r="A426" s="24" t="n">
        <v>47</v>
      </c>
      <c r="B426" s="26" t="n">
        <v>56578223</v>
      </c>
      <c r="C426" s="27" t="inlineStr">
        <is>
          <t>NDXUSD</t>
        </is>
      </c>
      <c r="D426" s="27" t="inlineStr">
        <is>
          <t>sell</t>
        </is>
      </c>
      <c r="E426" s="27" t="inlineStr">
        <is>
          <t>M1</t>
        </is>
      </c>
      <c r="F426" s="27" t="inlineStr">
        <is>
          <t>journey</t>
        </is>
      </c>
      <c r="G426" s="27" t="inlineStr">
        <is>
          <t>Loss</t>
        </is>
      </c>
      <c r="H426" s="65" t="inlineStr">
        <is>
          <t>50_56578223_NDXUSD_sell_M1_journey_2026-07-31-105213.png</t>
        </is>
      </c>
      <c r="I426" s="23" t="inlineStr">
        <is>
          <t>3214929/NDXUSD/2026-07-31_56578223_NDXUSD_sell_loss</t>
        </is>
      </c>
    </row>
    <row r="427">
      <c r="A427" s="24" t="n">
        <v>47</v>
      </c>
      <c r="B427" s="26" t="n">
        <v>56578223</v>
      </c>
      <c r="C427" s="27" t="inlineStr">
        <is>
          <t>NDXUSD</t>
        </is>
      </c>
      <c r="D427" s="27" t="inlineStr">
        <is>
          <t>sell</t>
        </is>
      </c>
      <c r="E427" s="27" t="inlineStr">
        <is>
          <t>M1</t>
        </is>
      </c>
      <c r="F427" s="27" t="inlineStr">
        <is>
          <t>open</t>
        </is>
      </c>
      <c r="G427" s="27" t="inlineStr">
        <is>
          <t>Loss</t>
        </is>
      </c>
      <c r="H427" s="65" t="inlineStr">
        <is>
          <t>50_56578223_NDXUSD_sell_M1_open_2026-07-31-105213.png</t>
        </is>
      </c>
      <c r="I427" s="23" t="inlineStr">
        <is>
          <t>3214929/NDXUSD/2026-07-31_56578223_NDXUSD_sell_loss</t>
        </is>
      </c>
    </row>
    <row r="428">
      <c r="A428" s="24" t="n">
        <v>48</v>
      </c>
      <c r="B428" s="26" t="n">
        <v>56583758</v>
      </c>
      <c r="C428" s="27" t="inlineStr">
        <is>
          <t>XAUUSD</t>
        </is>
      </c>
      <c r="D428" s="27" t="inlineStr">
        <is>
          <t>sell</t>
        </is>
      </c>
      <c r="E428" s="27" t="inlineStr">
        <is>
          <t>H4</t>
        </is>
      </c>
      <c r="F428" s="27" t="inlineStr">
        <is>
          <t>close</t>
        </is>
      </c>
      <c r="G428" s="27" t="inlineStr">
        <is>
          <t>Win</t>
        </is>
      </c>
      <c r="H428" s="65" t="inlineStr">
        <is>
          <t>10_56583758_XAUUSD_sell_H4_close_2026-07-31-114231.png</t>
        </is>
      </c>
      <c r="I428" s="23" t="inlineStr">
        <is>
          <t>3214929/XAUUSD/2026-07-31_56583758_XAUUSD_sell_win</t>
        </is>
      </c>
    </row>
    <row r="429">
      <c r="A429" s="24" t="n">
        <v>48</v>
      </c>
      <c r="B429" s="26" t="n">
        <v>56583758</v>
      </c>
      <c r="C429" s="27" t="inlineStr">
        <is>
          <t>XAUUSD</t>
        </is>
      </c>
      <c r="D429" s="27" t="inlineStr">
        <is>
          <t>sell</t>
        </is>
      </c>
      <c r="E429" s="27" t="inlineStr">
        <is>
          <t>H1</t>
        </is>
      </c>
      <c r="F429" s="27" t="inlineStr">
        <is>
          <t>close</t>
        </is>
      </c>
      <c r="G429" s="27" t="inlineStr">
        <is>
          <t>Win</t>
        </is>
      </c>
      <c r="H429" s="65" t="inlineStr">
        <is>
          <t>20_56583758_XAUUSD_sell_H1_close_2026-07-31-114231.png</t>
        </is>
      </c>
      <c r="I429" s="23" t="inlineStr">
        <is>
          <t>3214929/XAUUSD/2026-07-31_56583758_XAUUSD_sell_win</t>
        </is>
      </c>
    </row>
    <row r="430">
      <c r="A430" s="24" t="n">
        <v>48</v>
      </c>
      <c r="B430" s="26" t="n">
        <v>56583758</v>
      </c>
      <c r="C430" s="27" t="inlineStr">
        <is>
          <t>XAUUSD</t>
        </is>
      </c>
      <c r="D430" s="27" t="inlineStr">
        <is>
          <t>sell</t>
        </is>
      </c>
      <c r="E430" s="27" t="inlineStr">
        <is>
          <t>M15</t>
        </is>
      </c>
      <c r="F430" s="27" t="inlineStr">
        <is>
          <t>close</t>
        </is>
      </c>
      <c r="G430" s="27" t="inlineStr">
        <is>
          <t>Win</t>
        </is>
      </c>
      <c r="H430" s="65" t="inlineStr">
        <is>
          <t>30_56583758_XAUUSD_sell_M15_close_2026-07-31-114231.png</t>
        </is>
      </c>
      <c r="I430" s="23" t="inlineStr">
        <is>
          <t>3214929/XAUUSD/2026-07-31_56583758_XAUUSD_sell_win</t>
        </is>
      </c>
    </row>
    <row r="431">
      <c r="A431" s="24" t="n">
        <v>48</v>
      </c>
      <c r="B431" s="26" t="n">
        <v>56583758</v>
      </c>
      <c r="C431" s="27" t="inlineStr">
        <is>
          <t>XAUUSD</t>
        </is>
      </c>
      <c r="D431" s="27" t="inlineStr">
        <is>
          <t>sell</t>
        </is>
      </c>
      <c r="E431" s="27" t="inlineStr">
        <is>
          <t>M15</t>
        </is>
      </c>
      <c r="F431" s="27" t="inlineStr">
        <is>
          <t>open</t>
        </is>
      </c>
      <c r="G431" s="27" t="inlineStr">
        <is>
          <t>Win</t>
        </is>
      </c>
      <c r="H431" s="65" t="inlineStr">
        <is>
          <t>30_56583758_XAUUSD_sell_M15_open_2026-07-31-111152.png</t>
        </is>
      </c>
      <c r="I431" s="23" t="inlineStr">
        <is>
          <t>3214929/XAUUSD/2026-07-31_56583758_XAUUSD_sell_win</t>
        </is>
      </c>
    </row>
    <row r="432">
      <c r="A432" s="24" t="n">
        <v>48</v>
      </c>
      <c r="B432" s="26" t="n">
        <v>56583758</v>
      </c>
      <c r="C432" s="27" t="inlineStr">
        <is>
          <t>XAUUSD</t>
        </is>
      </c>
      <c r="D432" s="27" t="inlineStr">
        <is>
          <t>sell</t>
        </is>
      </c>
      <c r="E432" s="27" t="inlineStr">
        <is>
          <t>M5</t>
        </is>
      </c>
      <c r="F432" s="27" t="inlineStr">
        <is>
          <t>close</t>
        </is>
      </c>
      <c r="G432" s="27" t="inlineStr">
        <is>
          <t>Win</t>
        </is>
      </c>
      <c r="H432" s="65" t="inlineStr">
        <is>
          <t>40_56583758_XAUUSD_sell_M5_close_2026-07-31-114231.png</t>
        </is>
      </c>
      <c r="I432" s="23" t="inlineStr">
        <is>
          <t>3214929/XAUUSD/2026-07-31_56583758_XAUUSD_sell_win</t>
        </is>
      </c>
    </row>
    <row r="433">
      <c r="A433" s="24" t="n">
        <v>48</v>
      </c>
      <c r="B433" s="26" t="n">
        <v>56583758</v>
      </c>
      <c r="C433" s="27" t="inlineStr">
        <is>
          <t>XAUUSD</t>
        </is>
      </c>
      <c r="D433" s="27" t="inlineStr">
        <is>
          <t>sell</t>
        </is>
      </c>
      <c r="E433" s="27" t="inlineStr">
        <is>
          <t>M5</t>
        </is>
      </c>
      <c r="F433" s="27" t="inlineStr">
        <is>
          <t>open</t>
        </is>
      </c>
      <c r="G433" s="27" t="inlineStr">
        <is>
          <t>Win</t>
        </is>
      </c>
      <c r="H433" s="65" t="inlineStr">
        <is>
          <t>40_56583758_XAUUSD_sell_M5_open_2026-07-31-111152.png</t>
        </is>
      </c>
      <c r="I433" s="23" t="inlineStr">
        <is>
          <t>3214929/XAUUSD/2026-07-31_56583758_XAUUSD_sell_win</t>
        </is>
      </c>
    </row>
    <row r="434">
      <c r="A434" s="24" t="n">
        <v>48</v>
      </c>
      <c r="B434" s="26" t="n">
        <v>56583758</v>
      </c>
      <c r="C434" s="27" t="inlineStr">
        <is>
          <t>XAUUSD</t>
        </is>
      </c>
      <c r="D434" s="27" t="inlineStr">
        <is>
          <t>sell</t>
        </is>
      </c>
      <c r="E434" s="27" t="inlineStr">
        <is>
          <t>M1</t>
        </is>
      </c>
      <c r="F434" s="27" t="inlineStr">
        <is>
          <t>close</t>
        </is>
      </c>
      <c r="G434" s="27" t="inlineStr">
        <is>
          <t>Win</t>
        </is>
      </c>
      <c r="H434" s="65" t="inlineStr">
        <is>
          <t>50_56583758_XAUUSD_sell_M1_close_2026-07-31-114231.png</t>
        </is>
      </c>
      <c r="I434" s="23" t="inlineStr">
        <is>
          <t>3214929/XAUUSD/2026-07-31_56583758_XAUUSD_sell_win</t>
        </is>
      </c>
    </row>
    <row r="435">
      <c r="A435" s="24" t="n">
        <v>48</v>
      </c>
      <c r="B435" s="26" t="n">
        <v>56583758</v>
      </c>
      <c r="C435" s="27" t="inlineStr">
        <is>
          <t>XAUUSD</t>
        </is>
      </c>
      <c r="D435" s="27" t="inlineStr">
        <is>
          <t>sell</t>
        </is>
      </c>
      <c r="E435" s="27" t="inlineStr">
        <is>
          <t>M1</t>
        </is>
      </c>
      <c r="F435" s="27" t="inlineStr">
        <is>
          <t>journey</t>
        </is>
      </c>
      <c r="G435" s="27" t="inlineStr">
        <is>
          <t>Win</t>
        </is>
      </c>
      <c r="H435" s="65" t="inlineStr">
        <is>
          <t>50_56583758_XAUUSD_sell_M1_journey_2026-07-31-111152.png</t>
        </is>
      </c>
      <c r="I435" s="23" t="inlineStr">
        <is>
          <t>3214929/XAUUSD/2026-07-31_56583758_XAUUSD_sell_win</t>
        </is>
      </c>
    </row>
    <row r="436">
      <c r="A436" s="24" t="n">
        <v>48</v>
      </c>
      <c r="B436" s="26" t="n">
        <v>56583758</v>
      </c>
      <c r="C436" s="27" t="inlineStr">
        <is>
          <t>XAUUSD</t>
        </is>
      </c>
      <c r="D436" s="27" t="inlineStr">
        <is>
          <t>sell</t>
        </is>
      </c>
      <c r="E436" s="27" t="inlineStr">
        <is>
          <t>M1</t>
        </is>
      </c>
      <c r="F436" s="27" t="inlineStr">
        <is>
          <t>open</t>
        </is>
      </c>
      <c r="G436" s="27" t="inlineStr">
        <is>
          <t>Win</t>
        </is>
      </c>
      <c r="H436" s="65" t="inlineStr">
        <is>
          <t>50_56583758_XAUUSD_sell_M1_open_2026-07-31-111152.png</t>
        </is>
      </c>
      <c r="I436" s="23" t="inlineStr">
        <is>
          <t>3214929/XAUUSD/2026-07-31_56583758_XAUUSD_sell_win</t>
        </is>
      </c>
    </row>
    <row r="437">
      <c r="A437" s="24" t="n">
        <v>49</v>
      </c>
      <c r="B437" s="26" t="n">
        <v>56651727</v>
      </c>
      <c r="C437" s="27" t="inlineStr">
        <is>
          <t>DJIUSD</t>
        </is>
      </c>
      <c r="D437" s="27" t="inlineStr">
        <is>
          <t>buy</t>
        </is>
      </c>
      <c r="E437" s="27" t="inlineStr">
        <is>
          <t>H4</t>
        </is>
      </c>
      <c r="F437" s="27" t="inlineStr">
        <is>
          <t>close</t>
        </is>
      </c>
      <c r="G437" s="27" t="inlineStr">
        <is>
          <t>Loss</t>
        </is>
      </c>
      <c r="H437" s="65" t="inlineStr">
        <is>
          <t>10_56651727_DJIUSD_buy_H4_close_2026-07-31-133944.png</t>
        </is>
      </c>
      <c r="I437" s="23" t="inlineStr">
        <is>
          <t>3214929/DJIUSD/2026-07-31_56651727_DJIUSD_buy_loss</t>
        </is>
      </c>
    </row>
    <row r="438">
      <c r="A438" s="24" t="n">
        <v>49</v>
      </c>
      <c r="B438" s="26" t="n">
        <v>56651727</v>
      </c>
      <c r="C438" s="27" t="inlineStr">
        <is>
          <t>DJIUSD</t>
        </is>
      </c>
      <c r="D438" s="27" t="inlineStr">
        <is>
          <t>buy</t>
        </is>
      </c>
      <c r="E438" s="27" t="inlineStr">
        <is>
          <t>H1</t>
        </is>
      </c>
      <c r="F438" s="27" t="inlineStr">
        <is>
          <t>close</t>
        </is>
      </c>
      <c r="G438" s="27" t="inlineStr">
        <is>
          <t>Loss</t>
        </is>
      </c>
      <c r="H438" s="65" t="inlineStr">
        <is>
          <t>20_56651727_DJIUSD_buy_H1_close_2026-07-31-133944.png</t>
        </is>
      </c>
      <c r="I438" s="23" t="inlineStr">
        <is>
          <t>3214929/DJIUSD/2026-07-31_56651727_DJIUSD_buy_loss</t>
        </is>
      </c>
    </row>
    <row r="439">
      <c r="A439" s="24" t="n">
        <v>49</v>
      </c>
      <c r="B439" s="26" t="n">
        <v>56651727</v>
      </c>
      <c r="C439" s="27" t="inlineStr">
        <is>
          <t>DJIUSD</t>
        </is>
      </c>
      <c r="D439" s="27" t="inlineStr">
        <is>
          <t>buy</t>
        </is>
      </c>
      <c r="E439" s="27" t="inlineStr">
        <is>
          <t>M15</t>
        </is>
      </c>
      <c r="F439" s="27" t="inlineStr">
        <is>
          <t>close</t>
        </is>
      </c>
      <c r="G439" s="27" t="inlineStr">
        <is>
          <t>Loss</t>
        </is>
      </c>
      <c r="H439" s="65" t="inlineStr">
        <is>
          <t>30_56651727_DJIUSD_buy_M15_close_2026-07-31-133944.png</t>
        </is>
      </c>
      <c r="I439" s="23" t="inlineStr">
        <is>
          <t>3214929/DJIUSD/2026-07-31_56651727_DJIUSD_buy_loss</t>
        </is>
      </c>
    </row>
    <row r="440">
      <c r="A440" s="24" t="n">
        <v>49</v>
      </c>
      <c r="B440" s="26" t="n">
        <v>56651727</v>
      </c>
      <c r="C440" s="27" t="inlineStr">
        <is>
          <t>DJIUSD</t>
        </is>
      </c>
      <c r="D440" s="27" t="inlineStr">
        <is>
          <t>buy</t>
        </is>
      </c>
      <c r="E440" s="27" t="inlineStr">
        <is>
          <t>M15</t>
        </is>
      </c>
      <c r="F440" s="27" t="inlineStr">
        <is>
          <t>open</t>
        </is>
      </c>
      <c r="G440" s="27" t="inlineStr">
        <is>
          <t>Loss</t>
        </is>
      </c>
      <c r="H440" s="65" t="inlineStr">
        <is>
          <t>30_56651727_DJIUSD_buy_M15_open_2026-07-31-133526.png</t>
        </is>
      </c>
      <c r="I440" s="23" t="inlineStr">
        <is>
          <t>3214929/DJIUSD/2026-07-31_56651727_DJIUSD_buy_loss</t>
        </is>
      </c>
    </row>
    <row r="441">
      <c r="A441" s="24" t="n">
        <v>49</v>
      </c>
      <c r="B441" s="26" t="n">
        <v>56651727</v>
      </c>
      <c r="C441" s="27" t="inlineStr">
        <is>
          <t>DJIUSD</t>
        </is>
      </c>
      <c r="D441" s="27" t="inlineStr">
        <is>
          <t>buy</t>
        </is>
      </c>
      <c r="E441" s="27" t="inlineStr">
        <is>
          <t>M5</t>
        </is>
      </c>
      <c r="F441" s="27" t="inlineStr">
        <is>
          <t>close</t>
        </is>
      </c>
      <c r="G441" s="27" t="inlineStr">
        <is>
          <t>Loss</t>
        </is>
      </c>
      <c r="H441" s="65" t="inlineStr">
        <is>
          <t>40_56651727_DJIUSD_buy_M5_close_2026-07-31-133944.png</t>
        </is>
      </c>
      <c r="I441" s="23" t="inlineStr">
        <is>
          <t>3214929/DJIUSD/2026-07-31_56651727_DJIUSD_buy_loss</t>
        </is>
      </c>
    </row>
    <row r="442">
      <c r="A442" s="24" t="n">
        <v>49</v>
      </c>
      <c r="B442" s="26" t="n">
        <v>56651727</v>
      </c>
      <c r="C442" s="27" t="inlineStr">
        <is>
          <t>DJIUSD</t>
        </is>
      </c>
      <c r="D442" s="27" t="inlineStr">
        <is>
          <t>buy</t>
        </is>
      </c>
      <c r="E442" s="27" t="inlineStr">
        <is>
          <t>M5</t>
        </is>
      </c>
      <c r="F442" s="27" t="inlineStr">
        <is>
          <t>open</t>
        </is>
      </c>
      <c r="G442" s="27" t="inlineStr">
        <is>
          <t>Loss</t>
        </is>
      </c>
      <c r="H442" s="65" t="inlineStr">
        <is>
          <t>40_56651727_DJIUSD_buy_M5_open_2026-07-31-133526.png</t>
        </is>
      </c>
      <c r="I442" s="23" t="inlineStr">
        <is>
          <t>3214929/DJIUSD/2026-07-31_56651727_DJIUSD_buy_loss</t>
        </is>
      </c>
    </row>
    <row r="443">
      <c r="A443" s="24" t="n">
        <v>49</v>
      </c>
      <c r="B443" s="26" t="n">
        <v>56651727</v>
      </c>
      <c r="C443" s="27" t="inlineStr">
        <is>
          <t>DJIUSD</t>
        </is>
      </c>
      <c r="D443" s="27" t="inlineStr">
        <is>
          <t>buy</t>
        </is>
      </c>
      <c r="E443" s="27" t="inlineStr">
        <is>
          <t>M1</t>
        </is>
      </c>
      <c r="F443" s="27" t="inlineStr">
        <is>
          <t>close</t>
        </is>
      </c>
      <c r="G443" s="27" t="inlineStr">
        <is>
          <t>Loss</t>
        </is>
      </c>
      <c r="H443" s="65" t="inlineStr">
        <is>
          <t>50_56651727_DJIUSD_buy_M1_close_2026-07-31-133944.png</t>
        </is>
      </c>
      <c r="I443" s="23" t="inlineStr">
        <is>
          <t>3214929/DJIUSD/2026-07-31_56651727_DJIUSD_buy_loss</t>
        </is>
      </c>
    </row>
    <row r="444">
      <c r="A444" s="24" t="n">
        <v>49</v>
      </c>
      <c r="B444" s="26" t="n">
        <v>56651727</v>
      </c>
      <c r="C444" s="27" t="inlineStr">
        <is>
          <t>DJIUSD</t>
        </is>
      </c>
      <c r="D444" s="27" t="inlineStr">
        <is>
          <t>buy</t>
        </is>
      </c>
      <c r="E444" s="27" t="inlineStr">
        <is>
          <t>M1</t>
        </is>
      </c>
      <c r="F444" s="27" t="inlineStr">
        <is>
          <t>journey</t>
        </is>
      </c>
      <c r="G444" s="27" t="inlineStr">
        <is>
          <t>Loss</t>
        </is>
      </c>
      <c r="H444" s="65" t="inlineStr">
        <is>
          <t>50_56651727_DJIUSD_buy_M1_journey_2026-07-31-133526.png</t>
        </is>
      </c>
      <c r="I444" s="23" t="inlineStr">
        <is>
          <t>3214929/DJIUSD/2026-07-31_56651727_DJIUSD_buy_loss</t>
        </is>
      </c>
    </row>
    <row r="445">
      <c r="A445" s="24" t="n">
        <v>49</v>
      </c>
      <c r="B445" s="26" t="n">
        <v>56651727</v>
      </c>
      <c r="C445" s="27" t="inlineStr">
        <is>
          <t>DJIUSD</t>
        </is>
      </c>
      <c r="D445" s="27" t="inlineStr">
        <is>
          <t>buy</t>
        </is>
      </c>
      <c r="E445" s="27" t="inlineStr">
        <is>
          <t>M1</t>
        </is>
      </c>
      <c r="F445" s="27" t="inlineStr">
        <is>
          <t>open</t>
        </is>
      </c>
      <c r="G445" s="27" t="inlineStr">
        <is>
          <t>Loss</t>
        </is>
      </c>
      <c r="H445" s="65" t="inlineStr">
        <is>
          <t>50_56651727_DJIUSD_buy_M1_open_2026-07-31-133526.png</t>
        </is>
      </c>
      <c r="I445" s="23" t="inlineStr">
        <is>
          <t>3214929/DJIUSD/2026-07-31_56651727_DJIUSD_buy_loss</t>
        </is>
      </c>
    </row>
    <row r="446">
      <c r="A446" s="24" t="n">
        <v>50</v>
      </c>
      <c r="B446" s="26" t="n">
        <v>56718085</v>
      </c>
      <c r="C446" s="27" t="inlineStr">
        <is>
          <t>DJIUSD</t>
        </is>
      </c>
      <c r="D446" s="27" t="inlineStr">
        <is>
          <t>sell</t>
        </is>
      </c>
      <c r="E446" s="27" t="inlineStr">
        <is>
          <t>H4</t>
        </is>
      </c>
      <c r="F446" s="27" t="inlineStr">
        <is>
          <t>close</t>
        </is>
      </c>
      <c r="G446" s="27" t="inlineStr">
        <is>
          <t>Loss</t>
        </is>
      </c>
      <c r="H446" s="65" t="inlineStr">
        <is>
          <t>10_56718085_DJIUSD_sell_H4_close_2026-07-31-151356.png</t>
        </is>
      </c>
      <c r="I446" s="23" t="inlineStr">
        <is>
          <t>3214929/DJIUSD/2026-07-31_56718085_DJIUSD_sell_loss</t>
        </is>
      </c>
    </row>
    <row r="447">
      <c r="A447" s="24" t="n">
        <v>50</v>
      </c>
      <c r="B447" s="26" t="n">
        <v>56718085</v>
      </c>
      <c r="C447" s="27" t="inlineStr">
        <is>
          <t>DJIUSD</t>
        </is>
      </c>
      <c r="D447" s="27" t="inlineStr">
        <is>
          <t>sell</t>
        </is>
      </c>
      <c r="E447" s="27" t="inlineStr">
        <is>
          <t>H1</t>
        </is>
      </c>
      <c r="F447" s="27" t="inlineStr">
        <is>
          <t>close</t>
        </is>
      </c>
      <c r="G447" s="27" t="inlineStr">
        <is>
          <t>Loss</t>
        </is>
      </c>
      <c r="H447" s="65" t="inlineStr">
        <is>
          <t>20_56718085_DJIUSD_sell_H1_close_2026-07-31-151356.png</t>
        </is>
      </c>
      <c r="I447" s="23" t="inlineStr">
        <is>
          <t>3214929/DJIUSD/2026-07-31_56718085_DJIUSD_sell_loss</t>
        </is>
      </c>
    </row>
    <row r="448">
      <c r="A448" s="24" t="n">
        <v>50</v>
      </c>
      <c r="B448" s="26" t="n">
        <v>56718085</v>
      </c>
      <c r="C448" s="27" t="inlineStr">
        <is>
          <t>DJIUSD</t>
        </is>
      </c>
      <c r="D448" s="27" t="inlineStr">
        <is>
          <t>sell</t>
        </is>
      </c>
      <c r="E448" s="27" t="inlineStr">
        <is>
          <t>M15</t>
        </is>
      </c>
      <c r="F448" s="27" t="inlineStr">
        <is>
          <t>close</t>
        </is>
      </c>
      <c r="G448" s="27" t="inlineStr">
        <is>
          <t>Loss</t>
        </is>
      </c>
      <c r="H448" s="65" t="inlineStr">
        <is>
          <t>30_56718085_DJIUSD_sell_M15_close_2026-07-31-151356.png</t>
        </is>
      </c>
      <c r="I448" s="23" t="inlineStr">
        <is>
          <t>3214929/DJIUSD/2026-07-31_56718085_DJIUSD_sell_loss</t>
        </is>
      </c>
    </row>
    <row r="449">
      <c r="A449" s="24" t="n">
        <v>50</v>
      </c>
      <c r="B449" s="26" t="n">
        <v>56718085</v>
      </c>
      <c r="C449" s="27" t="inlineStr">
        <is>
          <t>DJIUSD</t>
        </is>
      </c>
      <c r="D449" s="27" t="inlineStr">
        <is>
          <t>sell</t>
        </is>
      </c>
      <c r="E449" s="27" t="inlineStr">
        <is>
          <t>M15</t>
        </is>
      </c>
      <c r="F449" s="27" t="inlineStr">
        <is>
          <t>open</t>
        </is>
      </c>
      <c r="G449" s="27" t="inlineStr">
        <is>
          <t>Loss</t>
        </is>
      </c>
      <c r="H449" s="65" t="inlineStr">
        <is>
          <t>30_56718085_DJIUSD_sell_M15_open_2026-07-31-150317.png</t>
        </is>
      </c>
      <c r="I449" s="23" t="inlineStr">
        <is>
          <t>3214929/DJIUSD/2026-07-31_56718085_DJIUSD_sell_loss</t>
        </is>
      </c>
    </row>
    <row r="450">
      <c r="A450" s="24" t="n">
        <v>50</v>
      </c>
      <c r="B450" s="26" t="n">
        <v>56718085</v>
      </c>
      <c r="C450" s="27" t="inlineStr">
        <is>
          <t>DJIUSD</t>
        </is>
      </c>
      <c r="D450" s="27" t="inlineStr">
        <is>
          <t>sell</t>
        </is>
      </c>
      <c r="E450" s="27" t="inlineStr">
        <is>
          <t>M5</t>
        </is>
      </c>
      <c r="F450" s="27" t="inlineStr">
        <is>
          <t>close</t>
        </is>
      </c>
      <c r="G450" s="27" t="inlineStr">
        <is>
          <t>Loss</t>
        </is>
      </c>
      <c r="H450" s="65" t="inlineStr">
        <is>
          <t>40_56718085_DJIUSD_sell_M5_close_2026-07-31-151356.png</t>
        </is>
      </c>
      <c r="I450" s="23" t="inlineStr">
        <is>
          <t>3214929/DJIUSD/2026-07-31_56718085_DJIUSD_sell_loss</t>
        </is>
      </c>
    </row>
    <row r="451">
      <c r="A451" s="24" t="n">
        <v>50</v>
      </c>
      <c r="B451" s="26" t="n">
        <v>56718085</v>
      </c>
      <c r="C451" s="27" t="inlineStr">
        <is>
          <t>DJIUSD</t>
        </is>
      </c>
      <c r="D451" s="27" t="inlineStr">
        <is>
          <t>sell</t>
        </is>
      </c>
      <c r="E451" s="27" t="inlineStr">
        <is>
          <t>M5</t>
        </is>
      </c>
      <c r="F451" s="27" t="inlineStr">
        <is>
          <t>open</t>
        </is>
      </c>
      <c r="G451" s="27" t="inlineStr">
        <is>
          <t>Loss</t>
        </is>
      </c>
      <c r="H451" s="65" t="inlineStr">
        <is>
          <t>40_56718085_DJIUSD_sell_M5_open_2026-07-31-150317.png</t>
        </is>
      </c>
      <c r="I451" s="23" t="inlineStr">
        <is>
          <t>3214929/DJIUSD/2026-07-31_56718085_DJIUSD_sell_loss</t>
        </is>
      </c>
    </row>
    <row r="452">
      <c r="A452" s="24" t="n">
        <v>50</v>
      </c>
      <c r="B452" s="26" t="n">
        <v>56718085</v>
      </c>
      <c r="C452" s="27" t="inlineStr">
        <is>
          <t>DJIUSD</t>
        </is>
      </c>
      <c r="D452" s="27" t="inlineStr">
        <is>
          <t>sell</t>
        </is>
      </c>
      <c r="E452" s="27" t="inlineStr">
        <is>
          <t>M1</t>
        </is>
      </c>
      <c r="F452" s="27" t="inlineStr">
        <is>
          <t>close</t>
        </is>
      </c>
      <c r="G452" s="27" t="inlineStr">
        <is>
          <t>Loss</t>
        </is>
      </c>
      <c r="H452" s="65" t="inlineStr">
        <is>
          <t>50_56718085_DJIUSD_sell_M1_close_2026-07-31-151356.png</t>
        </is>
      </c>
      <c r="I452" s="23" t="inlineStr">
        <is>
          <t>3214929/DJIUSD/2026-07-31_56718085_DJIUSD_sell_loss</t>
        </is>
      </c>
    </row>
    <row r="453">
      <c r="A453" s="24" t="n">
        <v>50</v>
      </c>
      <c r="B453" s="26" t="n">
        <v>56718085</v>
      </c>
      <c r="C453" s="27" t="inlineStr">
        <is>
          <t>DJIUSD</t>
        </is>
      </c>
      <c r="D453" s="27" t="inlineStr">
        <is>
          <t>sell</t>
        </is>
      </c>
      <c r="E453" s="27" t="inlineStr">
        <is>
          <t>M1</t>
        </is>
      </c>
      <c r="F453" s="27" t="inlineStr">
        <is>
          <t>journey</t>
        </is>
      </c>
      <c r="G453" s="27" t="inlineStr">
        <is>
          <t>Loss</t>
        </is>
      </c>
      <c r="H453" s="65" t="inlineStr">
        <is>
          <t>50_56718085_DJIUSD_sell_M1_journey_2026-07-31-150317.png</t>
        </is>
      </c>
      <c r="I453" s="23" t="inlineStr">
        <is>
          <t>3214929/DJIUSD/2026-07-31_56718085_DJIUSD_sell_loss</t>
        </is>
      </c>
    </row>
    <row r="454">
      <c r="A454" s="24" t="n">
        <v>50</v>
      </c>
      <c r="B454" s="26" t="n">
        <v>56718085</v>
      </c>
      <c r="C454" s="27" t="inlineStr">
        <is>
          <t>DJIUSD</t>
        </is>
      </c>
      <c r="D454" s="27" t="inlineStr">
        <is>
          <t>sell</t>
        </is>
      </c>
      <c r="E454" s="27" t="inlineStr">
        <is>
          <t>M1</t>
        </is>
      </c>
      <c r="F454" s="27" t="inlineStr">
        <is>
          <t>open</t>
        </is>
      </c>
      <c r="G454" s="27" t="inlineStr">
        <is>
          <t>Loss</t>
        </is>
      </c>
      <c r="H454" s="65" t="inlineStr">
        <is>
          <t>50_56718085_DJIUSD_sell_M1_open_2026-07-31-150317.png</t>
        </is>
      </c>
      <c r="I454" s="23" t="inlineStr">
        <is>
          <t>3214929/DJIUSD/2026-07-31_56718085_DJIUSD_sell_loss</t>
        </is>
      </c>
    </row>
    <row r="455">
      <c r="A455" s="24" t="n">
        <v>51</v>
      </c>
      <c r="B455" s="26" t="n">
        <v>56724703</v>
      </c>
      <c r="C455" s="27" t="inlineStr">
        <is>
          <t>DJIUSD</t>
        </is>
      </c>
      <c r="D455" s="27" t="inlineStr">
        <is>
          <t>buy</t>
        </is>
      </c>
      <c r="E455" s="27" t="inlineStr">
        <is>
          <t>H4</t>
        </is>
      </c>
      <c r="F455" s="27" t="inlineStr">
        <is>
          <t>close</t>
        </is>
      </c>
      <c r="G455" s="27" t="inlineStr">
        <is>
          <t>Win</t>
        </is>
      </c>
      <c r="H455" s="65" t="inlineStr">
        <is>
          <t>10_56724703_DJIUSD_buy_H4_close_2026-07-31-172423.png</t>
        </is>
      </c>
      <c r="I455" s="23" t="inlineStr">
        <is>
          <t>3214929/DJIUSD/2026-07-31_56724703_DJIUSD_buy_win</t>
        </is>
      </c>
    </row>
    <row r="456">
      <c r="A456" s="24" t="n">
        <v>51</v>
      </c>
      <c r="B456" s="26" t="n">
        <v>56724703</v>
      </c>
      <c r="C456" s="27" t="inlineStr">
        <is>
          <t>DJIUSD</t>
        </is>
      </c>
      <c r="D456" s="27" t="inlineStr">
        <is>
          <t>buy</t>
        </is>
      </c>
      <c r="E456" s="27" t="inlineStr">
        <is>
          <t>H1</t>
        </is>
      </c>
      <c r="F456" s="27" t="inlineStr">
        <is>
          <t>close</t>
        </is>
      </c>
      <c r="G456" s="27" t="inlineStr">
        <is>
          <t>Win</t>
        </is>
      </c>
      <c r="H456" s="65" t="inlineStr">
        <is>
          <t>20_56724703_DJIUSD_buy_H1_close_2026-07-31-172423.png</t>
        </is>
      </c>
      <c r="I456" s="23" t="inlineStr">
        <is>
          <t>3214929/DJIUSD/2026-07-31_56724703_DJIUSD_buy_win</t>
        </is>
      </c>
    </row>
    <row r="457">
      <c r="A457" s="24" t="n">
        <v>51</v>
      </c>
      <c r="B457" s="26" t="n">
        <v>56724703</v>
      </c>
      <c r="C457" s="27" t="inlineStr">
        <is>
          <t>DJIUSD</t>
        </is>
      </c>
      <c r="D457" s="27" t="inlineStr">
        <is>
          <t>buy</t>
        </is>
      </c>
      <c r="E457" s="27" t="inlineStr">
        <is>
          <t>M15</t>
        </is>
      </c>
      <c r="F457" s="27" t="inlineStr">
        <is>
          <t>close</t>
        </is>
      </c>
      <c r="G457" s="27" t="inlineStr">
        <is>
          <t>Win</t>
        </is>
      </c>
      <c r="H457" s="65" t="inlineStr">
        <is>
          <t>30_56724703_DJIUSD_buy_M15_close_2026-07-31-172423.png</t>
        </is>
      </c>
      <c r="I457" s="23" t="inlineStr">
        <is>
          <t>3214929/DJIUSD/2026-07-31_56724703_DJIUSD_buy_win</t>
        </is>
      </c>
    </row>
    <row r="458">
      <c r="A458" s="24" t="n">
        <v>51</v>
      </c>
      <c r="B458" s="26" t="n">
        <v>56724703</v>
      </c>
      <c r="C458" s="27" t="inlineStr">
        <is>
          <t>DJIUSD</t>
        </is>
      </c>
      <c r="D458" s="27" t="inlineStr">
        <is>
          <t>buy</t>
        </is>
      </c>
      <c r="E458" s="27" t="inlineStr">
        <is>
          <t>M15</t>
        </is>
      </c>
      <c r="F458" s="27" t="inlineStr">
        <is>
          <t>open</t>
        </is>
      </c>
      <c r="G458" s="27" t="inlineStr">
        <is>
          <t>Win</t>
        </is>
      </c>
      <c r="H458" s="65" t="inlineStr">
        <is>
          <t>30_56724703_DJIUSD_buy_M15_open_2026-07-31-152644.png</t>
        </is>
      </c>
      <c r="I458" s="23" t="inlineStr">
        <is>
          <t>3214929/DJIUSD/2026-07-31_56724703_DJIUSD_buy_win</t>
        </is>
      </c>
    </row>
    <row r="459">
      <c r="A459" s="24" t="n">
        <v>51</v>
      </c>
      <c r="B459" s="26" t="n">
        <v>56724703</v>
      </c>
      <c r="C459" s="27" t="inlineStr">
        <is>
          <t>DJIUSD</t>
        </is>
      </c>
      <c r="D459" s="27" t="inlineStr">
        <is>
          <t>buy</t>
        </is>
      </c>
      <c r="E459" s="27" t="inlineStr">
        <is>
          <t>M5</t>
        </is>
      </c>
      <c r="F459" s="27" t="inlineStr">
        <is>
          <t>close</t>
        </is>
      </c>
      <c r="G459" s="27" t="inlineStr">
        <is>
          <t>Win</t>
        </is>
      </c>
      <c r="H459" s="65" t="inlineStr">
        <is>
          <t>40_56724703_DJIUSD_buy_M5_close_2026-07-31-172423.png</t>
        </is>
      </c>
      <c r="I459" s="23" t="inlineStr">
        <is>
          <t>3214929/DJIUSD/2026-07-31_56724703_DJIUSD_buy_win</t>
        </is>
      </c>
    </row>
    <row r="460">
      <c r="A460" s="24" t="n">
        <v>51</v>
      </c>
      <c r="B460" s="26" t="n">
        <v>56724703</v>
      </c>
      <c r="C460" s="27" t="inlineStr">
        <is>
          <t>DJIUSD</t>
        </is>
      </c>
      <c r="D460" s="27" t="inlineStr">
        <is>
          <t>buy</t>
        </is>
      </c>
      <c r="E460" s="27" t="inlineStr">
        <is>
          <t>M5</t>
        </is>
      </c>
      <c r="F460" s="27" t="inlineStr">
        <is>
          <t>journey</t>
        </is>
      </c>
      <c r="G460" s="27" t="inlineStr">
        <is>
          <t>Win</t>
        </is>
      </c>
      <c r="H460" s="65" t="inlineStr">
        <is>
          <t>40_56724703_DJIUSD_buy_M5_journey_2026-07-31-152644.png</t>
        </is>
      </c>
      <c r="I460" s="23" t="inlineStr">
        <is>
          <t>3214929/DJIUSD/2026-07-31_56724703_DJIUSD_buy_win</t>
        </is>
      </c>
    </row>
    <row r="461">
      <c r="A461" s="24" t="n">
        <v>51</v>
      </c>
      <c r="B461" s="26" t="n">
        <v>56724703</v>
      </c>
      <c r="C461" s="27" t="inlineStr">
        <is>
          <t>DJIUSD</t>
        </is>
      </c>
      <c r="D461" s="27" t="inlineStr">
        <is>
          <t>buy</t>
        </is>
      </c>
      <c r="E461" s="27" t="inlineStr">
        <is>
          <t>M5</t>
        </is>
      </c>
      <c r="F461" s="27" t="inlineStr">
        <is>
          <t>open</t>
        </is>
      </c>
      <c r="G461" s="27" t="inlineStr">
        <is>
          <t>Win</t>
        </is>
      </c>
      <c r="H461" s="65" t="inlineStr">
        <is>
          <t>40_56724703_DJIUSD_buy_M5_open_2026-07-31-152644.png</t>
        </is>
      </c>
      <c r="I461" s="23" t="inlineStr">
        <is>
          <t>3214929/DJIUSD/2026-07-31_56724703_DJIUSD_buy_win</t>
        </is>
      </c>
    </row>
    <row r="462">
      <c r="A462" s="24" t="n">
        <v>51</v>
      </c>
      <c r="B462" s="26" t="n">
        <v>56724703</v>
      </c>
      <c r="C462" s="27" t="inlineStr">
        <is>
          <t>DJIUSD</t>
        </is>
      </c>
      <c r="D462" s="27" t="inlineStr">
        <is>
          <t>buy</t>
        </is>
      </c>
      <c r="E462" s="27" t="inlineStr">
        <is>
          <t>M1</t>
        </is>
      </c>
      <c r="F462" s="27" t="inlineStr">
        <is>
          <t>close</t>
        </is>
      </c>
      <c r="G462" s="27" t="inlineStr">
        <is>
          <t>Win</t>
        </is>
      </c>
      <c r="H462" s="65" t="inlineStr">
        <is>
          <t>50_56724703_DJIUSD_buy_M1_close_2026-07-31-172423.png</t>
        </is>
      </c>
      <c r="I462" s="23" t="inlineStr">
        <is>
          <t>3214929/DJIUSD/2026-07-31_56724703_DJIUSD_buy_win</t>
        </is>
      </c>
    </row>
    <row r="463">
      <c r="A463" s="24" t="n">
        <v>51</v>
      </c>
      <c r="B463" s="26" t="n">
        <v>56724703</v>
      </c>
      <c r="C463" s="27" t="inlineStr">
        <is>
          <t>DJIUSD</t>
        </is>
      </c>
      <c r="D463" s="27" t="inlineStr">
        <is>
          <t>buy</t>
        </is>
      </c>
      <c r="E463" s="27" t="inlineStr">
        <is>
          <t>M1</t>
        </is>
      </c>
      <c r="F463" s="27" t="inlineStr">
        <is>
          <t>open</t>
        </is>
      </c>
      <c r="G463" s="27" t="inlineStr">
        <is>
          <t>Win</t>
        </is>
      </c>
      <c r="H463" s="65" t="inlineStr">
        <is>
          <t>50_56724703_DJIUSD_buy_M1_open_2026-07-31-152644.png</t>
        </is>
      </c>
      <c r="I463" s="23" t="inlineStr">
        <is>
          <t>3214929/DJIUSD/2026-07-31_56724703_DJIUSD_buy_win</t>
        </is>
      </c>
    </row>
    <row r="464">
      <c r="A464" s="24" t="n">
        <v>52</v>
      </c>
      <c r="B464" s="26" t="n">
        <v>56847975</v>
      </c>
      <c r="C464" s="27" t="inlineStr">
        <is>
          <t>DAXEUR</t>
        </is>
      </c>
      <c r="D464" s="27" t="inlineStr">
        <is>
          <t>buy</t>
        </is>
      </c>
      <c r="E464" s="27" t="inlineStr">
        <is>
          <t>H4</t>
        </is>
      </c>
      <c r="F464" s="27" t="inlineStr">
        <is>
          <t>close</t>
        </is>
      </c>
      <c r="G464" s="27" t="inlineStr">
        <is>
          <t>Loss</t>
        </is>
      </c>
      <c r="H464" s="65" t="inlineStr">
        <is>
          <t>10_56847975_DAXEUR_buy_H4_close_2026-08-03-074045.png</t>
        </is>
      </c>
      <c r="I464" s="23" t="inlineStr">
        <is>
          <t>3214929/DAXEUR/2026-08-03_56847975_DAXEUR_buy_loss</t>
        </is>
      </c>
    </row>
    <row r="465">
      <c r="A465" s="24" t="n">
        <v>52</v>
      </c>
      <c r="B465" s="26" t="n">
        <v>56847975</v>
      </c>
      <c r="C465" s="27" t="inlineStr">
        <is>
          <t>DAXEUR</t>
        </is>
      </c>
      <c r="D465" s="27" t="inlineStr">
        <is>
          <t>buy</t>
        </is>
      </c>
      <c r="E465" s="27" t="inlineStr">
        <is>
          <t>H1</t>
        </is>
      </c>
      <c r="F465" s="27" t="inlineStr">
        <is>
          <t>close</t>
        </is>
      </c>
      <c r="G465" s="27" t="inlineStr">
        <is>
          <t>Loss</t>
        </is>
      </c>
      <c r="H465" s="65" t="inlineStr">
        <is>
          <t>20_56847975_DAXEUR_buy_H1_close_2026-08-03-074045.png</t>
        </is>
      </c>
      <c r="I465" s="23" t="inlineStr">
        <is>
          <t>3214929/DAXEUR/2026-08-03_56847975_DAXEUR_buy_loss</t>
        </is>
      </c>
    </row>
    <row r="466">
      <c r="A466" s="24" t="n">
        <v>52</v>
      </c>
      <c r="B466" s="26" t="n">
        <v>56847975</v>
      </c>
      <c r="C466" s="27" t="inlineStr">
        <is>
          <t>DAXEUR</t>
        </is>
      </c>
      <c r="D466" s="27" t="inlineStr">
        <is>
          <t>buy</t>
        </is>
      </c>
      <c r="E466" s="27" t="inlineStr">
        <is>
          <t>M15</t>
        </is>
      </c>
      <c r="F466" s="27" t="inlineStr">
        <is>
          <t>close</t>
        </is>
      </c>
      <c r="G466" s="27" t="inlineStr">
        <is>
          <t>Loss</t>
        </is>
      </c>
      <c r="H466" s="65" t="inlineStr">
        <is>
          <t>30_56847975_DAXEUR_buy_M15_close_2026-08-03-074045.png</t>
        </is>
      </c>
      <c r="I466" s="23" t="inlineStr">
        <is>
          <t>3214929/DAXEUR/2026-08-03_56847975_DAXEUR_buy_loss</t>
        </is>
      </c>
    </row>
    <row r="467">
      <c r="A467" s="24" t="n">
        <v>52</v>
      </c>
      <c r="B467" s="26" t="n">
        <v>56847975</v>
      </c>
      <c r="C467" s="27" t="inlineStr">
        <is>
          <t>DAXEUR</t>
        </is>
      </c>
      <c r="D467" s="27" t="inlineStr">
        <is>
          <t>buy</t>
        </is>
      </c>
      <c r="E467" s="27" t="inlineStr">
        <is>
          <t>M15</t>
        </is>
      </c>
      <c r="F467" s="27" t="inlineStr">
        <is>
          <t>open</t>
        </is>
      </c>
      <c r="G467" s="27" t="inlineStr">
        <is>
          <t>Loss</t>
        </is>
      </c>
      <c r="H467" s="65" t="inlineStr">
        <is>
          <t>30_56847975_DAXEUR_buy_M15_open_2026-08-03-073354.png</t>
        </is>
      </c>
      <c r="I467" s="23" t="inlineStr">
        <is>
          <t>3214929/DAXEUR/2026-08-03_56847975_DAXEUR_buy_loss</t>
        </is>
      </c>
    </row>
    <row r="468">
      <c r="A468" s="24" t="n">
        <v>52</v>
      </c>
      <c r="B468" s="26" t="n">
        <v>56847975</v>
      </c>
      <c r="C468" s="27" t="inlineStr">
        <is>
          <t>DAXEUR</t>
        </is>
      </c>
      <c r="D468" s="27" t="inlineStr">
        <is>
          <t>buy</t>
        </is>
      </c>
      <c r="E468" s="27" t="inlineStr">
        <is>
          <t>M5</t>
        </is>
      </c>
      <c r="F468" s="27" t="inlineStr">
        <is>
          <t>close</t>
        </is>
      </c>
      <c r="G468" s="27" t="inlineStr">
        <is>
          <t>Loss</t>
        </is>
      </c>
      <c r="H468" s="65" t="inlineStr">
        <is>
          <t>40_56847975_DAXEUR_buy_M5_close_2026-08-03-074045.png</t>
        </is>
      </c>
      <c r="I468" s="23" t="inlineStr">
        <is>
          <t>3214929/DAXEUR/2026-08-03_56847975_DAXEUR_buy_loss</t>
        </is>
      </c>
    </row>
    <row r="469">
      <c r="A469" s="24" t="n">
        <v>52</v>
      </c>
      <c r="B469" s="26" t="n">
        <v>56847975</v>
      </c>
      <c r="C469" s="27" t="inlineStr">
        <is>
          <t>DAXEUR</t>
        </is>
      </c>
      <c r="D469" s="27" t="inlineStr">
        <is>
          <t>buy</t>
        </is>
      </c>
      <c r="E469" s="27" t="inlineStr">
        <is>
          <t>M5</t>
        </is>
      </c>
      <c r="F469" s="27" t="inlineStr">
        <is>
          <t>open</t>
        </is>
      </c>
      <c r="G469" s="27" t="inlineStr">
        <is>
          <t>Loss</t>
        </is>
      </c>
      <c r="H469" s="65" t="inlineStr">
        <is>
          <t>40_56847975_DAXEUR_buy_M5_open_2026-08-03-073354.png</t>
        </is>
      </c>
      <c r="I469" s="23" t="inlineStr">
        <is>
          <t>3214929/DAXEUR/2026-08-03_56847975_DAXEUR_buy_loss</t>
        </is>
      </c>
    </row>
    <row r="470">
      <c r="A470" s="24" t="n">
        <v>52</v>
      </c>
      <c r="B470" s="26" t="n">
        <v>56847975</v>
      </c>
      <c r="C470" s="27" t="inlineStr">
        <is>
          <t>DAXEUR</t>
        </is>
      </c>
      <c r="D470" s="27" t="inlineStr">
        <is>
          <t>buy</t>
        </is>
      </c>
      <c r="E470" s="27" t="inlineStr">
        <is>
          <t>M1</t>
        </is>
      </c>
      <c r="F470" s="27" t="inlineStr">
        <is>
          <t>close</t>
        </is>
      </c>
      <c r="G470" s="27" t="inlineStr">
        <is>
          <t>Loss</t>
        </is>
      </c>
      <c r="H470" s="65" t="inlineStr">
        <is>
          <t>50_56847975_DAXEUR_buy_M1_close_2026-08-03-074045.png</t>
        </is>
      </c>
      <c r="I470" s="23" t="inlineStr">
        <is>
          <t>3214929/DAXEUR/2026-08-03_56847975_DAXEUR_buy_loss</t>
        </is>
      </c>
    </row>
    <row r="471">
      <c r="A471" s="24" t="n">
        <v>52</v>
      </c>
      <c r="B471" s="26" t="n">
        <v>56847975</v>
      </c>
      <c r="C471" s="27" t="inlineStr">
        <is>
          <t>DAXEUR</t>
        </is>
      </c>
      <c r="D471" s="27" t="inlineStr">
        <is>
          <t>buy</t>
        </is>
      </c>
      <c r="E471" s="27" t="inlineStr">
        <is>
          <t>M1</t>
        </is>
      </c>
      <c r="F471" s="27" t="inlineStr">
        <is>
          <t>journey</t>
        </is>
      </c>
      <c r="G471" s="27" t="inlineStr">
        <is>
          <t>Loss</t>
        </is>
      </c>
      <c r="H471" s="65" t="inlineStr">
        <is>
          <t>50_56847975_DAXEUR_buy_M1_journey_2026-08-03-073354.png</t>
        </is>
      </c>
      <c r="I471" s="23" t="inlineStr">
        <is>
          <t>3214929/DAXEUR/2026-08-03_56847975_DAXEUR_buy_loss</t>
        </is>
      </c>
    </row>
    <row r="472">
      <c r="A472" s="24" t="n">
        <v>52</v>
      </c>
      <c r="B472" s="26" t="n">
        <v>56847975</v>
      </c>
      <c r="C472" s="27" t="inlineStr">
        <is>
          <t>DAXEUR</t>
        </is>
      </c>
      <c r="D472" s="27" t="inlineStr">
        <is>
          <t>buy</t>
        </is>
      </c>
      <c r="E472" s="27" t="inlineStr">
        <is>
          <t>M1</t>
        </is>
      </c>
      <c r="F472" s="27" t="inlineStr">
        <is>
          <t>open</t>
        </is>
      </c>
      <c r="G472" s="27" t="inlineStr">
        <is>
          <t>Loss</t>
        </is>
      </c>
      <c r="H472" s="65" t="inlineStr">
        <is>
          <t>50_56847975_DAXEUR_buy_M1_open_2026-08-03-073354.png</t>
        </is>
      </c>
      <c r="I472" s="23" t="inlineStr">
        <is>
          <t>3214929/DAXEUR/2026-08-03_56847975_DAXEUR_buy_loss</t>
        </is>
      </c>
    </row>
    <row r="473">
      <c r="A473" s="24" t="n">
        <v>53</v>
      </c>
      <c r="B473" s="26" t="n">
        <v>56851593</v>
      </c>
      <c r="C473" s="27" t="inlineStr">
        <is>
          <t>DAXEUR</t>
        </is>
      </c>
      <c r="D473" s="27" t="inlineStr">
        <is>
          <t>buy</t>
        </is>
      </c>
      <c r="E473" s="27" t="inlineStr">
        <is>
          <t>H4</t>
        </is>
      </c>
      <c r="F473" s="27" t="inlineStr">
        <is>
          <t>close</t>
        </is>
      </c>
      <c r="G473" s="27" t="inlineStr">
        <is>
          <t>Win</t>
        </is>
      </c>
      <c r="H473" s="65" t="inlineStr">
        <is>
          <t>10_56851593_DAXEUR_buy_H4_close_2026-08-03-075624.png</t>
        </is>
      </c>
      <c r="I473" s="23" t="inlineStr">
        <is>
          <t>3214929/DAXEUR/2026-08-03_56851593_DAXEUR_buy_win</t>
        </is>
      </c>
    </row>
    <row r="474">
      <c r="A474" s="24" t="n">
        <v>53</v>
      </c>
      <c r="B474" s="26" t="n">
        <v>56851593</v>
      </c>
      <c r="C474" s="27" t="inlineStr">
        <is>
          <t>DAXEUR</t>
        </is>
      </c>
      <c r="D474" s="27" t="inlineStr">
        <is>
          <t>buy</t>
        </is>
      </c>
      <c r="E474" s="27" t="inlineStr">
        <is>
          <t>H1</t>
        </is>
      </c>
      <c r="F474" s="27" t="inlineStr">
        <is>
          <t>close</t>
        </is>
      </c>
      <c r="G474" s="27" t="inlineStr">
        <is>
          <t>Win</t>
        </is>
      </c>
      <c r="H474" s="65" t="inlineStr">
        <is>
          <t>20_56851593_DAXEUR_buy_H1_close_2026-08-03-075624.png</t>
        </is>
      </c>
      <c r="I474" s="23" t="inlineStr">
        <is>
          <t>3214929/DAXEUR/2026-08-03_56851593_DAXEUR_buy_win</t>
        </is>
      </c>
    </row>
    <row r="475">
      <c r="A475" s="24" t="n">
        <v>53</v>
      </c>
      <c r="B475" s="26" t="n">
        <v>56851593</v>
      </c>
      <c r="C475" s="27" t="inlineStr">
        <is>
          <t>DAXEUR</t>
        </is>
      </c>
      <c r="D475" s="27" t="inlineStr">
        <is>
          <t>buy</t>
        </is>
      </c>
      <c r="E475" s="27" t="inlineStr">
        <is>
          <t>M15</t>
        </is>
      </c>
      <c r="F475" s="27" t="inlineStr">
        <is>
          <t>close</t>
        </is>
      </c>
      <c r="G475" s="27" t="inlineStr">
        <is>
          <t>Win</t>
        </is>
      </c>
      <c r="H475" s="65" t="inlineStr">
        <is>
          <t>30_56851593_DAXEUR_buy_M15_close_2026-08-03-075624.png</t>
        </is>
      </c>
      <c r="I475" s="23" t="inlineStr">
        <is>
          <t>3214929/DAXEUR/2026-08-03_56851593_DAXEUR_buy_win</t>
        </is>
      </c>
    </row>
    <row r="476">
      <c r="A476" s="24" t="n">
        <v>53</v>
      </c>
      <c r="B476" s="26" t="n">
        <v>56851593</v>
      </c>
      <c r="C476" s="27" t="inlineStr">
        <is>
          <t>DAXEUR</t>
        </is>
      </c>
      <c r="D476" s="27" t="inlineStr">
        <is>
          <t>buy</t>
        </is>
      </c>
      <c r="E476" s="27" t="inlineStr">
        <is>
          <t>M15</t>
        </is>
      </c>
      <c r="F476" s="27" t="inlineStr">
        <is>
          <t>open</t>
        </is>
      </c>
      <c r="G476" s="27" t="inlineStr">
        <is>
          <t>Win</t>
        </is>
      </c>
      <c r="H476" s="65" t="inlineStr">
        <is>
          <t>30_56851593_DAXEUR_buy_M15_open_2026-08-03-074422.png</t>
        </is>
      </c>
      <c r="I476" s="23" t="inlineStr">
        <is>
          <t>3214929/DAXEUR/2026-08-03_56851593_DAXEUR_buy_win</t>
        </is>
      </c>
    </row>
    <row r="477">
      <c r="A477" s="24" t="n">
        <v>53</v>
      </c>
      <c r="B477" s="26" t="n">
        <v>56851593</v>
      </c>
      <c r="C477" s="27" t="inlineStr">
        <is>
          <t>DAXEUR</t>
        </is>
      </c>
      <c r="D477" s="27" t="inlineStr">
        <is>
          <t>buy</t>
        </is>
      </c>
      <c r="E477" s="27" t="inlineStr">
        <is>
          <t>M5</t>
        </is>
      </c>
      <c r="F477" s="27" t="inlineStr">
        <is>
          <t>close</t>
        </is>
      </c>
      <c r="G477" s="27" t="inlineStr">
        <is>
          <t>Win</t>
        </is>
      </c>
      <c r="H477" s="65" t="inlineStr">
        <is>
          <t>40_56851593_DAXEUR_buy_M5_close_2026-08-03-075624.png</t>
        </is>
      </c>
      <c r="I477" s="23" t="inlineStr">
        <is>
          <t>3214929/DAXEUR/2026-08-03_56851593_DAXEUR_buy_win</t>
        </is>
      </c>
    </row>
    <row r="478">
      <c r="A478" s="24" t="n">
        <v>53</v>
      </c>
      <c r="B478" s="26" t="n">
        <v>56851593</v>
      </c>
      <c r="C478" s="27" t="inlineStr">
        <is>
          <t>DAXEUR</t>
        </is>
      </c>
      <c r="D478" s="27" t="inlineStr">
        <is>
          <t>buy</t>
        </is>
      </c>
      <c r="E478" s="27" t="inlineStr">
        <is>
          <t>M5</t>
        </is>
      </c>
      <c r="F478" s="27" t="inlineStr">
        <is>
          <t>open</t>
        </is>
      </c>
      <c r="G478" s="27" t="inlineStr">
        <is>
          <t>Win</t>
        </is>
      </c>
      <c r="H478" s="65" t="inlineStr">
        <is>
          <t>40_56851593_DAXEUR_buy_M5_open_2026-08-03-074422.png</t>
        </is>
      </c>
      <c r="I478" s="23" t="inlineStr">
        <is>
          <t>3214929/DAXEUR/2026-08-03_56851593_DAXEUR_buy_win</t>
        </is>
      </c>
    </row>
    <row r="479">
      <c r="A479" s="24" t="n">
        <v>53</v>
      </c>
      <c r="B479" s="26" t="n">
        <v>56851593</v>
      </c>
      <c r="C479" s="27" t="inlineStr">
        <is>
          <t>DAXEUR</t>
        </is>
      </c>
      <c r="D479" s="27" t="inlineStr">
        <is>
          <t>buy</t>
        </is>
      </c>
      <c r="E479" s="27" t="inlineStr">
        <is>
          <t>M1</t>
        </is>
      </c>
      <c r="F479" s="27" t="inlineStr">
        <is>
          <t>close</t>
        </is>
      </c>
      <c r="G479" s="27" t="inlineStr">
        <is>
          <t>Win</t>
        </is>
      </c>
      <c r="H479" s="65" t="inlineStr">
        <is>
          <t>50_56851593_DAXEUR_buy_M1_close_2026-08-03-075624.png</t>
        </is>
      </c>
      <c r="I479" s="23" t="inlineStr">
        <is>
          <t>3214929/DAXEUR/2026-08-03_56851593_DAXEUR_buy_win</t>
        </is>
      </c>
    </row>
    <row r="480">
      <c r="A480" s="24" t="n">
        <v>53</v>
      </c>
      <c r="B480" s="26" t="n">
        <v>56851593</v>
      </c>
      <c r="C480" s="27" t="inlineStr">
        <is>
          <t>DAXEUR</t>
        </is>
      </c>
      <c r="D480" s="27" t="inlineStr">
        <is>
          <t>buy</t>
        </is>
      </c>
      <c r="E480" s="27" t="inlineStr">
        <is>
          <t>M1</t>
        </is>
      </c>
      <c r="F480" s="27" t="inlineStr">
        <is>
          <t>journey</t>
        </is>
      </c>
      <c r="G480" s="27" t="inlineStr">
        <is>
          <t>Win</t>
        </is>
      </c>
      <c r="H480" s="65" t="inlineStr">
        <is>
          <t>50_56851593_DAXEUR_buy_M1_journey_2026-08-03-074422.png</t>
        </is>
      </c>
      <c r="I480" s="23" t="inlineStr">
        <is>
          <t>3214929/DAXEUR/2026-08-03_56851593_DAXEUR_buy_win</t>
        </is>
      </c>
    </row>
    <row r="481">
      <c r="A481" s="24" t="n">
        <v>53</v>
      </c>
      <c r="B481" s="26" t="n">
        <v>56851593</v>
      </c>
      <c r="C481" s="27" t="inlineStr">
        <is>
          <t>DAXEUR</t>
        </is>
      </c>
      <c r="D481" s="27" t="inlineStr">
        <is>
          <t>buy</t>
        </is>
      </c>
      <c r="E481" s="27" t="inlineStr">
        <is>
          <t>M1</t>
        </is>
      </c>
      <c r="F481" s="27" t="inlineStr">
        <is>
          <t>open</t>
        </is>
      </c>
      <c r="G481" s="27" t="inlineStr">
        <is>
          <t>Win</t>
        </is>
      </c>
      <c r="H481" s="65" t="inlineStr">
        <is>
          <t>50_56851593_DAXEUR_buy_M1_open_2026-08-03-074422.png</t>
        </is>
      </c>
      <c r="I481" s="23" t="inlineStr">
        <is>
          <t>3214929/DAXEUR/2026-08-03_56851593_DAXEUR_buy_win</t>
        </is>
      </c>
    </row>
    <row r="482">
      <c r="A482" s="24" t="n">
        <v>54</v>
      </c>
      <c r="B482" s="26" t="n">
        <v>56856761</v>
      </c>
      <c r="C482" s="27" t="inlineStr">
        <is>
          <t>DAXEUR</t>
        </is>
      </c>
      <c r="D482" s="27" t="inlineStr">
        <is>
          <t>sell</t>
        </is>
      </c>
      <c r="E482" s="27" t="inlineStr">
        <is>
          <t>H4</t>
        </is>
      </c>
      <c r="F482" s="27" t="inlineStr">
        <is>
          <t>close</t>
        </is>
      </c>
      <c r="G482" s="27" t="inlineStr">
        <is>
          <t>Loss</t>
        </is>
      </c>
      <c r="H482" s="65" t="inlineStr">
        <is>
          <t>10_56856761_DAXEUR_sell_H4_close_2026-08-03-081518.png</t>
        </is>
      </c>
      <c r="I482" s="23" t="inlineStr">
        <is>
          <t>3214929/DAXEUR/2026-08-03_56856761_DAXEUR_sell_loss</t>
        </is>
      </c>
    </row>
    <row r="483">
      <c r="A483" s="24" t="n">
        <v>54</v>
      </c>
      <c r="B483" s="26" t="n">
        <v>56856761</v>
      </c>
      <c r="C483" s="27" t="inlineStr">
        <is>
          <t>DAXEUR</t>
        </is>
      </c>
      <c r="D483" s="27" t="inlineStr">
        <is>
          <t>sell</t>
        </is>
      </c>
      <c r="E483" s="27" t="inlineStr">
        <is>
          <t>H1</t>
        </is>
      </c>
      <c r="F483" s="27" t="inlineStr">
        <is>
          <t>close</t>
        </is>
      </c>
      <c r="G483" s="27" t="inlineStr">
        <is>
          <t>Loss</t>
        </is>
      </c>
      <c r="H483" s="65" t="inlineStr">
        <is>
          <t>20_56856761_DAXEUR_sell_H1_close_2026-08-03-081518.png</t>
        </is>
      </c>
      <c r="I483" s="23" t="inlineStr">
        <is>
          <t>3214929/DAXEUR/2026-08-03_56856761_DAXEUR_sell_loss</t>
        </is>
      </c>
    </row>
    <row r="484">
      <c r="A484" s="24" t="n">
        <v>54</v>
      </c>
      <c r="B484" s="26" t="n">
        <v>56856761</v>
      </c>
      <c r="C484" s="27" t="inlineStr">
        <is>
          <t>DAXEUR</t>
        </is>
      </c>
      <c r="D484" s="27" t="inlineStr">
        <is>
          <t>sell</t>
        </is>
      </c>
      <c r="E484" s="27" t="inlineStr">
        <is>
          <t>M15</t>
        </is>
      </c>
      <c r="F484" s="27" t="inlineStr">
        <is>
          <t>close</t>
        </is>
      </c>
      <c r="G484" s="27" t="inlineStr">
        <is>
          <t>Loss</t>
        </is>
      </c>
      <c r="H484" s="65" t="inlineStr">
        <is>
          <t>30_56856761_DAXEUR_sell_M15_close_2026-08-03-081518.png</t>
        </is>
      </c>
      <c r="I484" s="23" t="inlineStr">
        <is>
          <t>3214929/DAXEUR/2026-08-03_56856761_DAXEUR_sell_loss</t>
        </is>
      </c>
    </row>
    <row r="485">
      <c r="A485" s="24" t="n">
        <v>54</v>
      </c>
      <c r="B485" s="26" t="n">
        <v>56856761</v>
      </c>
      <c r="C485" s="27" t="inlineStr">
        <is>
          <t>DAXEUR</t>
        </is>
      </c>
      <c r="D485" s="27" t="inlineStr">
        <is>
          <t>sell</t>
        </is>
      </c>
      <c r="E485" s="27" t="inlineStr">
        <is>
          <t>M15</t>
        </is>
      </c>
      <c r="F485" s="27" t="inlineStr">
        <is>
          <t>open</t>
        </is>
      </c>
      <c r="G485" s="27" t="inlineStr">
        <is>
          <t>Loss</t>
        </is>
      </c>
      <c r="H485" s="65" t="inlineStr">
        <is>
          <t>30_56856761_DAXEUR_sell_M15_open_2026-08-03-080308.png</t>
        </is>
      </c>
      <c r="I485" s="23" t="inlineStr">
        <is>
          <t>3214929/DAXEUR/2026-08-03_56856761_DAXEUR_sell_loss</t>
        </is>
      </c>
    </row>
    <row r="486">
      <c r="A486" s="24" t="n">
        <v>54</v>
      </c>
      <c r="B486" s="26" t="n">
        <v>56856761</v>
      </c>
      <c r="C486" s="27" t="inlineStr">
        <is>
          <t>DAXEUR</t>
        </is>
      </c>
      <c r="D486" s="27" t="inlineStr">
        <is>
          <t>sell</t>
        </is>
      </c>
      <c r="E486" s="27" t="inlineStr">
        <is>
          <t>M5</t>
        </is>
      </c>
      <c r="F486" s="27" t="inlineStr">
        <is>
          <t>close</t>
        </is>
      </c>
      <c r="G486" s="27" t="inlineStr">
        <is>
          <t>Loss</t>
        </is>
      </c>
      <c r="H486" s="65" t="inlineStr">
        <is>
          <t>40_56856761_DAXEUR_sell_M5_close_2026-08-03-081518.png</t>
        </is>
      </c>
      <c r="I486" s="23" t="inlineStr">
        <is>
          <t>3214929/DAXEUR/2026-08-03_56856761_DAXEUR_sell_loss</t>
        </is>
      </c>
    </row>
    <row r="487">
      <c r="A487" s="24" t="n">
        <v>54</v>
      </c>
      <c r="B487" s="26" t="n">
        <v>56856761</v>
      </c>
      <c r="C487" s="27" t="inlineStr">
        <is>
          <t>DAXEUR</t>
        </is>
      </c>
      <c r="D487" s="27" t="inlineStr">
        <is>
          <t>sell</t>
        </is>
      </c>
      <c r="E487" s="27" t="inlineStr">
        <is>
          <t>M5</t>
        </is>
      </c>
      <c r="F487" s="27" t="inlineStr">
        <is>
          <t>open</t>
        </is>
      </c>
      <c r="G487" s="27" t="inlineStr">
        <is>
          <t>Loss</t>
        </is>
      </c>
      <c r="H487" s="65" t="inlineStr">
        <is>
          <t>40_56856761_DAXEUR_sell_M5_open_2026-08-03-080308.png</t>
        </is>
      </c>
      <c r="I487" s="23" t="inlineStr">
        <is>
          <t>3214929/DAXEUR/2026-08-03_56856761_DAXEUR_sell_loss</t>
        </is>
      </c>
    </row>
    <row r="488">
      <c r="A488" s="24" t="n">
        <v>54</v>
      </c>
      <c r="B488" s="26" t="n">
        <v>56856761</v>
      </c>
      <c r="C488" s="27" t="inlineStr">
        <is>
          <t>DAXEUR</t>
        </is>
      </c>
      <c r="D488" s="27" t="inlineStr">
        <is>
          <t>sell</t>
        </is>
      </c>
      <c r="E488" s="27" t="inlineStr">
        <is>
          <t>M1</t>
        </is>
      </c>
      <c r="F488" s="27" t="inlineStr">
        <is>
          <t>close</t>
        </is>
      </c>
      <c r="G488" s="27" t="inlineStr">
        <is>
          <t>Loss</t>
        </is>
      </c>
      <c r="H488" s="65" t="inlineStr">
        <is>
          <t>50_56856761_DAXEUR_sell_M1_close_2026-08-03-081518.png</t>
        </is>
      </c>
      <c r="I488" s="23" t="inlineStr">
        <is>
          <t>3214929/DAXEUR/2026-08-03_56856761_DAXEUR_sell_loss</t>
        </is>
      </c>
    </row>
    <row r="489">
      <c r="A489" s="24" t="n">
        <v>54</v>
      </c>
      <c r="B489" s="26" t="n">
        <v>56856761</v>
      </c>
      <c r="C489" s="27" t="inlineStr">
        <is>
          <t>DAXEUR</t>
        </is>
      </c>
      <c r="D489" s="27" t="inlineStr">
        <is>
          <t>sell</t>
        </is>
      </c>
      <c r="E489" s="27" t="inlineStr">
        <is>
          <t>M1</t>
        </is>
      </c>
      <c r="F489" s="27" t="inlineStr">
        <is>
          <t>journey</t>
        </is>
      </c>
      <c r="G489" s="27" t="inlineStr">
        <is>
          <t>Loss</t>
        </is>
      </c>
      <c r="H489" s="65" t="inlineStr">
        <is>
          <t>50_56856761_DAXEUR_sell_M1_journey_2026-08-03-080308.png</t>
        </is>
      </c>
      <c r="I489" s="23" t="inlineStr">
        <is>
          <t>3214929/DAXEUR/2026-08-03_56856761_DAXEUR_sell_loss</t>
        </is>
      </c>
    </row>
    <row r="490">
      <c r="A490" s="24" t="n">
        <v>54</v>
      </c>
      <c r="B490" s="26" t="n">
        <v>56856761</v>
      </c>
      <c r="C490" s="27" t="inlineStr">
        <is>
          <t>DAXEUR</t>
        </is>
      </c>
      <c r="D490" s="27" t="inlineStr">
        <is>
          <t>sell</t>
        </is>
      </c>
      <c r="E490" s="27" t="inlineStr">
        <is>
          <t>M1</t>
        </is>
      </c>
      <c r="F490" s="27" t="inlineStr">
        <is>
          <t>open</t>
        </is>
      </c>
      <c r="G490" s="27" t="inlineStr">
        <is>
          <t>Loss</t>
        </is>
      </c>
      <c r="H490" s="65" t="inlineStr">
        <is>
          <t>50_56856761_DAXEUR_sell_M1_open_2026-08-03-080308.png</t>
        </is>
      </c>
      <c r="I490" s="23" t="inlineStr">
        <is>
          <t>3214929/DAXEUR/2026-08-03_56856761_DAXEUR_sell_loss</t>
        </is>
      </c>
    </row>
    <row r="491">
      <c r="A491" s="24" t="n">
        <v>55</v>
      </c>
      <c r="B491" s="26" t="n">
        <v>56869455</v>
      </c>
      <c r="C491" s="27" t="inlineStr">
        <is>
          <t>XAUUSD</t>
        </is>
      </c>
      <c r="D491" s="27" t="inlineStr">
        <is>
          <t>sell</t>
        </is>
      </c>
      <c r="E491" s="27" t="inlineStr">
        <is>
          <t>H4</t>
        </is>
      </c>
      <c r="F491" s="27" t="inlineStr">
        <is>
          <t>close</t>
        </is>
      </c>
      <c r="G491" s="27" t="inlineStr">
        <is>
          <t>Loss</t>
        </is>
      </c>
      <c r="H491" s="65" t="inlineStr">
        <is>
          <t>10_56869455_XAUUSD_sell_H4_close_2026-08-03-085932.png</t>
        </is>
      </c>
      <c r="I491" s="23" t="inlineStr">
        <is>
          <t>3214929/XAUUSD/2026-08-03_56869455_XAUUSD_sell_loss</t>
        </is>
      </c>
    </row>
    <row r="492">
      <c r="A492" s="24" t="n">
        <v>55</v>
      </c>
      <c r="B492" s="26" t="n">
        <v>56869455</v>
      </c>
      <c r="C492" s="27" t="inlineStr">
        <is>
          <t>XAUUSD</t>
        </is>
      </c>
      <c r="D492" s="27" t="inlineStr">
        <is>
          <t>sell</t>
        </is>
      </c>
      <c r="E492" s="27" t="inlineStr">
        <is>
          <t>H1</t>
        </is>
      </c>
      <c r="F492" s="27" t="inlineStr">
        <is>
          <t>close</t>
        </is>
      </c>
      <c r="G492" s="27" t="inlineStr">
        <is>
          <t>Loss</t>
        </is>
      </c>
      <c r="H492" s="65" t="inlineStr">
        <is>
          <t>20_56869455_XAUUSD_sell_H1_close_2026-08-03-085932.png</t>
        </is>
      </c>
      <c r="I492" s="23" t="inlineStr">
        <is>
          <t>3214929/XAUUSD/2026-08-03_56869455_XAUUSD_sell_loss</t>
        </is>
      </c>
    </row>
    <row r="493">
      <c r="A493" s="24" t="n">
        <v>55</v>
      </c>
      <c r="B493" s="26" t="n">
        <v>56869455</v>
      </c>
      <c r="C493" s="27" t="inlineStr">
        <is>
          <t>XAUUSD</t>
        </is>
      </c>
      <c r="D493" s="27" t="inlineStr">
        <is>
          <t>sell</t>
        </is>
      </c>
      <c r="E493" s="27" t="inlineStr">
        <is>
          <t>M15</t>
        </is>
      </c>
      <c r="F493" s="27" t="inlineStr">
        <is>
          <t>close</t>
        </is>
      </c>
      <c r="G493" s="27" t="inlineStr">
        <is>
          <t>Loss</t>
        </is>
      </c>
      <c r="H493" s="65" t="inlineStr">
        <is>
          <t>30_56869455_XAUUSD_sell_M15_close_2026-08-03-085932.png</t>
        </is>
      </c>
      <c r="I493" s="23" t="inlineStr">
        <is>
          <t>3214929/XAUUSD/2026-08-03_56869455_XAUUSD_sell_loss</t>
        </is>
      </c>
    </row>
    <row r="494">
      <c r="A494" s="24" t="n">
        <v>55</v>
      </c>
      <c r="B494" s="26" t="n">
        <v>56869455</v>
      </c>
      <c r="C494" s="27" t="inlineStr">
        <is>
          <t>XAUUSD</t>
        </is>
      </c>
      <c r="D494" s="27" t="inlineStr">
        <is>
          <t>sell</t>
        </is>
      </c>
      <c r="E494" s="27" t="inlineStr">
        <is>
          <t>M15</t>
        </is>
      </c>
      <c r="F494" s="27" t="inlineStr">
        <is>
          <t>open</t>
        </is>
      </c>
      <c r="G494" s="27" t="inlineStr">
        <is>
          <t>Loss</t>
        </is>
      </c>
      <c r="H494" s="65" t="inlineStr">
        <is>
          <t>30_56869455_XAUUSD_sell_M15_open_2026-08-03-085002.png</t>
        </is>
      </c>
      <c r="I494" s="23" t="inlineStr">
        <is>
          <t>3214929/XAUUSD/2026-08-03_56869455_XAUUSD_sell_loss</t>
        </is>
      </c>
    </row>
    <row r="495">
      <c r="A495" s="24" t="n">
        <v>55</v>
      </c>
      <c r="B495" s="26" t="n">
        <v>56869455</v>
      </c>
      <c r="C495" s="27" t="inlineStr">
        <is>
          <t>XAUUSD</t>
        </is>
      </c>
      <c r="D495" s="27" t="inlineStr">
        <is>
          <t>sell</t>
        </is>
      </c>
      <c r="E495" s="27" t="inlineStr">
        <is>
          <t>M5</t>
        </is>
      </c>
      <c r="F495" s="27" t="inlineStr">
        <is>
          <t>close</t>
        </is>
      </c>
      <c r="G495" s="27" t="inlineStr">
        <is>
          <t>Loss</t>
        </is>
      </c>
      <c r="H495" s="65" t="inlineStr">
        <is>
          <t>40_56869455_XAUUSD_sell_M5_close_2026-08-03-085932.png</t>
        </is>
      </c>
      <c r="I495" s="23" t="inlineStr">
        <is>
          <t>3214929/XAUUSD/2026-08-03_56869455_XAUUSD_sell_loss</t>
        </is>
      </c>
    </row>
    <row r="496">
      <c r="A496" s="24" t="n">
        <v>55</v>
      </c>
      <c r="B496" s="26" t="n">
        <v>56869455</v>
      </c>
      <c r="C496" s="27" t="inlineStr">
        <is>
          <t>XAUUSD</t>
        </is>
      </c>
      <c r="D496" s="27" t="inlineStr">
        <is>
          <t>sell</t>
        </is>
      </c>
      <c r="E496" s="27" t="inlineStr">
        <is>
          <t>M5</t>
        </is>
      </c>
      <c r="F496" s="27" t="inlineStr">
        <is>
          <t>open</t>
        </is>
      </c>
      <c r="G496" s="27" t="inlineStr">
        <is>
          <t>Loss</t>
        </is>
      </c>
      <c r="H496" s="65" t="inlineStr">
        <is>
          <t>40_56869455_XAUUSD_sell_M5_open_2026-08-03-085002.png</t>
        </is>
      </c>
      <c r="I496" s="23" t="inlineStr">
        <is>
          <t>3214929/XAUUSD/2026-08-03_56869455_XAUUSD_sell_loss</t>
        </is>
      </c>
    </row>
    <row r="497">
      <c r="A497" s="24" t="n">
        <v>55</v>
      </c>
      <c r="B497" s="26" t="n">
        <v>56869455</v>
      </c>
      <c r="C497" s="27" t="inlineStr">
        <is>
          <t>XAUUSD</t>
        </is>
      </c>
      <c r="D497" s="27" t="inlineStr">
        <is>
          <t>sell</t>
        </is>
      </c>
      <c r="E497" s="27" t="inlineStr">
        <is>
          <t>M1</t>
        </is>
      </c>
      <c r="F497" s="27" t="inlineStr">
        <is>
          <t>close</t>
        </is>
      </c>
      <c r="G497" s="27" t="inlineStr">
        <is>
          <t>Loss</t>
        </is>
      </c>
      <c r="H497" s="65" t="inlineStr">
        <is>
          <t>50_56869455_XAUUSD_sell_M1_close_2026-08-03-085932.png</t>
        </is>
      </c>
      <c r="I497" s="23" t="inlineStr">
        <is>
          <t>3214929/XAUUSD/2026-08-03_56869455_XAUUSD_sell_loss</t>
        </is>
      </c>
    </row>
    <row r="498">
      <c r="A498" s="24" t="n">
        <v>55</v>
      </c>
      <c r="B498" s="26" t="n">
        <v>56869455</v>
      </c>
      <c r="C498" s="27" t="inlineStr">
        <is>
          <t>XAUUSD</t>
        </is>
      </c>
      <c r="D498" s="27" t="inlineStr">
        <is>
          <t>sell</t>
        </is>
      </c>
      <c r="E498" s="27" t="inlineStr">
        <is>
          <t>M1</t>
        </is>
      </c>
      <c r="F498" s="27" t="inlineStr">
        <is>
          <t>journey</t>
        </is>
      </c>
      <c r="G498" s="27" t="inlineStr">
        <is>
          <t>Loss</t>
        </is>
      </c>
      <c r="H498" s="65" t="inlineStr">
        <is>
          <t>50_56869455_XAUUSD_sell_M1_journey_2026-08-03-085002.png</t>
        </is>
      </c>
      <c r="I498" s="23" t="inlineStr">
        <is>
          <t>3214929/XAUUSD/2026-08-03_56869455_XAUUSD_sell_loss</t>
        </is>
      </c>
    </row>
    <row r="499">
      <c r="A499" s="24" t="n">
        <v>55</v>
      </c>
      <c r="B499" s="26" t="n">
        <v>56869455</v>
      </c>
      <c r="C499" s="27" t="inlineStr">
        <is>
          <t>XAUUSD</t>
        </is>
      </c>
      <c r="D499" s="27" t="inlineStr">
        <is>
          <t>sell</t>
        </is>
      </c>
      <c r="E499" s="27" t="inlineStr">
        <is>
          <t>M1</t>
        </is>
      </c>
      <c r="F499" s="27" t="inlineStr">
        <is>
          <t>open</t>
        </is>
      </c>
      <c r="G499" s="27" t="inlineStr">
        <is>
          <t>Loss</t>
        </is>
      </c>
      <c r="H499" s="65" t="inlineStr">
        <is>
          <t>50_56869455_XAUUSD_sell_M1_open_2026-08-03-085002.png</t>
        </is>
      </c>
      <c r="I499" s="23" t="inlineStr">
        <is>
          <t>3214929/XAUUSD/2026-08-03_56869455_XAUUSD_sell_loss</t>
        </is>
      </c>
    </row>
    <row r="500">
      <c r="A500" s="24" t="n">
        <v>56</v>
      </c>
      <c r="B500" s="26" t="n">
        <v>56869513</v>
      </c>
      <c r="C500" s="27" t="inlineStr">
        <is>
          <t>XAUUSD</t>
        </is>
      </c>
      <c r="D500" s="27" t="inlineStr">
        <is>
          <t>sell</t>
        </is>
      </c>
      <c r="E500" s="27" t="inlineStr">
        <is>
          <t>H4</t>
        </is>
      </c>
      <c r="F500" s="27" t="inlineStr">
        <is>
          <t>close</t>
        </is>
      </c>
      <c r="G500" s="27" t="inlineStr">
        <is>
          <t>Win</t>
        </is>
      </c>
      <c r="H500" s="65" t="inlineStr">
        <is>
          <t>10_56869513_XAUUSD_sell_H4_close_2026-08-03-092505.png</t>
        </is>
      </c>
      <c r="I500" s="23" t="inlineStr">
        <is>
          <t>3214929/XAUUSD/2026-08-03_56869513_XAUUSD_sell_win</t>
        </is>
      </c>
    </row>
    <row r="501">
      <c r="A501" s="24" t="n">
        <v>56</v>
      </c>
      <c r="B501" s="26" t="n">
        <v>56869513</v>
      </c>
      <c r="C501" s="27" t="inlineStr">
        <is>
          <t>XAUUSD</t>
        </is>
      </c>
      <c r="D501" s="27" t="inlineStr">
        <is>
          <t>sell</t>
        </is>
      </c>
      <c r="E501" s="27" t="inlineStr">
        <is>
          <t>H1</t>
        </is>
      </c>
      <c r="F501" s="27" t="inlineStr">
        <is>
          <t>close</t>
        </is>
      </c>
      <c r="G501" s="27" t="inlineStr">
        <is>
          <t>Win</t>
        </is>
      </c>
      <c r="H501" s="65" t="inlineStr">
        <is>
          <t>20_56869513_XAUUSD_sell_H1_close_2026-08-03-092505.png</t>
        </is>
      </c>
      <c r="I501" s="23" t="inlineStr">
        <is>
          <t>3214929/XAUUSD/2026-08-03_56869513_XAUUSD_sell_win</t>
        </is>
      </c>
    </row>
    <row r="502">
      <c r="A502" s="24" t="n">
        <v>56</v>
      </c>
      <c r="B502" s="26" t="n">
        <v>56869513</v>
      </c>
      <c r="C502" s="27" t="inlineStr">
        <is>
          <t>XAUUSD</t>
        </is>
      </c>
      <c r="D502" s="27" t="inlineStr">
        <is>
          <t>sell</t>
        </is>
      </c>
      <c r="E502" s="27" t="inlineStr">
        <is>
          <t>M15</t>
        </is>
      </c>
      <c r="F502" s="27" t="inlineStr">
        <is>
          <t>close</t>
        </is>
      </c>
      <c r="G502" s="27" t="inlineStr">
        <is>
          <t>Win</t>
        </is>
      </c>
      <c r="H502" s="65" t="inlineStr">
        <is>
          <t>30_56869513_XAUUSD_sell_M15_close_2026-08-03-092505.png</t>
        </is>
      </c>
      <c r="I502" s="23" t="inlineStr">
        <is>
          <t>3214929/XAUUSD/2026-08-03_56869513_XAUUSD_sell_win</t>
        </is>
      </c>
    </row>
    <row r="503">
      <c r="A503" s="24" t="n">
        <v>56</v>
      </c>
      <c r="B503" s="26" t="n">
        <v>56869513</v>
      </c>
      <c r="C503" s="27" t="inlineStr">
        <is>
          <t>XAUUSD</t>
        </is>
      </c>
      <c r="D503" s="27" t="inlineStr">
        <is>
          <t>sell</t>
        </is>
      </c>
      <c r="E503" s="27" t="inlineStr">
        <is>
          <t>M15</t>
        </is>
      </c>
      <c r="F503" s="27" t="inlineStr">
        <is>
          <t>open</t>
        </is>
      </c>
      <c r="G503" s="27" t="inlineStr">
        <is>
          <t>Win</t>
        </is>
      </c>
      <c r="H503" s="65" t="inlineStr">
        <is>
          <t>30_56869513_XAUUSD_sell_M15_open_2026-08-03-085024.png</t>
        </is>
      </c>
      <c r="I503" s="23" t="inlineStr">
        <is>
          <t>3214929/XAUUSD/2026-08-03_56869513_XAUUSD_sell_win</t>
        </is>
      </c>
    </row>
    <row r="504">
      <c r="A504" s="24" t="n">
        <v>56</v>
      </c>
      <c r="B504" s="26" t="n">
        <v>56869513</v>
      </c>
      <c r="C504" s="27" t="inlineStr">
        <is>
          <t>XAUUSD</t>
        </is>
      </c>
      <c r="D504" s="27" t="inlineStr">
        <is>
          <t>sell</t>
        </is>
      </c>
      <c r="E504" s="27" t="inlineStr">
        <is>
          <t>M5</t>
        </is>
      </c>
      <c r="F504" s="27" t="inlineStr">
        <is>
          <t>close</t>
        </is>
      </c>
      <c r="G504" s="27" t="inlineStr">
        <is>
          <t>Win</t>
        </is>
      </c>
      <c r="H504" s="65" t="inlineStr">
        <is>
          <t>40_56869513_XAUUSD_sell_M5_close_2026-08-03-092505.png</t>
        </is>
      </c>
      <c r="I504" s="23" t="inlineStr">
        <is>
          <t>3214929/XAUUSD/2026-08-03_56869513_XAUUSD_sell_win</t>
        </is>
      </c>
    </row>
    <row r="505">
      <c r="A505" s="24" t="n">
        <v>56</v>
      </c>
      <c r="B505" s="26" t="n">
        <v>56869513</v>
      </c>
      <c r="C505" s="27" t="inlineStr">
        <is>
          <t>XAUUSD</t>
        </is>
      </c>
      <c r="D505" s="27" t="inlineStr">
        <is>
          <t>sell</t>
        </is>
      </c>
      <c r="E505" s="27" t="inlineStr">
        <is>
          <t>M5</t>
        </is>
      </c>
      <c r="F505" s="27" t="inlineStr">
        <is>
          <t>open</t>
        </is>
      </c>
      <c r="G505" s="27" t="inlineStr">
        <is>
          <t>Win</t>
        </is>
      </c>
      <c r="H505" s="65" t="inlineStr">
        <is>
          <t>40_56869513_XAUUSD_sell_M5_open_2026-08-03-085024.png</t>
        </is>
      </c>
      <c r="I505" s="23" t="inlineStr">
        <is>
          <t>3214929/XAUUSD/2026-08-03_56869513_XAUUSD_sell_win</t>
        </is>
      </c>
    </row>
    <row r="506">
      <c r="A506" s="24" t="n">
        <v>56</v>
      </c>
      <c r="B506" s="26" t="n">
        <v>56869513</v>
      </c>
      <c r="C506" s="27" t="inlineStr">
        <is>
          <t>XAUUSD</t>
        </is>
      </c>
      <c r="D506" s="27" t="inlineStr">
        <is>
          <t>sell</t>
        </is>
      </c>
      <c r="E506" s="27" t="inlineStr">
        <is>
          <t>M1</t>
        </is>
      </c>
      <c r="F506" s="27" t="inlineStr">
        <is>
          <t>close</t>
        </is>
      </c>
      <c r="G506" s="27" t="inlineStr">
        <is>
          <t>Win</t>
        </is>
      </c>
      <c r="H506" s="65" t="inlineStr">
        <is>
          <t>50_56869513_XAUUSD_sell_M1_close_2026-08-03-092505.png</t>
        </is>
      </c>
      <c r="I506" s="23" t="inlineStr">
        <is>
          <t>3214929/XAUUSD/2026-08-03_56869513_XAUUSD_sell_win</t>
        </is>
      </c>
    </row>
    <row r="507">
      <c r="A507" s="24" t="n">
        <v>56</v>
      </c>
      <c r="B507" s="26" t="n">
        <v>56869513</v>
      </c>
      <c r="C507" s="27" t="inlineStr">
        <is>
          <t>XAUUSD</t>
        </is>
      </c>
      <c r="D507" s="27" t="inlineStr">
        <is>
          <t>sell</t>
        </is>
      </c>
      <c r="E507" s="27" t="inlineStr">
        <is>
          <t>M1</t>
        </is>
      </c>
      <c r="F507" s="27" t="inlineStr">
        <is>
          <t>journey</t>
        </is>
      </c>
      <c r="G507" s="27" t="inlineStr">
        <is>
          <t>Win</t>
        </is>
      </c>
      <c r="H507" s="65" t="inlineStr">
        <is>
          <t>50_56869513_XAUUSD_sell_M1_journey_2026-08-03-085024.png</t>
        </is>
      </c>
      <c r="I507" s="23" t="inlineStr">
        <is>
          <t>3214929/XAUUSD/2026-08-03_56869513_XAUUSD_sell_win</t>
        </is>
      </c>
    </row>
    <row r="508">
      <c r="A508" s="24" t="n">
        <v>56</v>
      </c>
      <c r="B508" s="26" t="n">
        <v>56869513</v>
      </c>
      <c r="C508" s="27" t="inlineStr">
        <is>
          <t>XAUUSD</t>
        </is>
      </c>
      <c r="D508" s="27" t="inlineStr">
        <is>
          <t>sell</t>
        </is>
      </c>
      <c r="E508" s="27" t="inlineStr">
        <is>
          <t>M1</t>
        </is>
      </c>
      <c r="F508" s="27" t="inlineStr">
        <is>
          <t>open</t>
        </is>
      </c>
      <c r="G508" s="27" t="inlineStr">
        <is>
          <t>Win</t>
        </is>
      </c>
      <c r="H508" s="65" t="inlineStr">
        <is>
          <t>50_56869513_XAUUSD_sell_M1_open_2026-08-03-085024.png</t>
        </is>
      </c>
      <c r="I508" s="23" t="inlineStr">
        <is>
          <t>3214929/XAUUSD/2026-08-03_56869513_XAUUSD_sell_win</t>
        </is>
      </c>
    </row>
    <row r="509">
      <c r="A509" s="24" t="n">
        <v>57</v>
      </c>
      <c r="B509" s="26" t="n">
        <v>56871255</v>
      </c>
      <c r="C509" s="27" t="inlineStr">
        <is>
          <t>DAXEUR</t>
        </is>
      </c>
      <c r="D509" s="27" t="inlineStr">
        <is>
          <t>sell</t>
        </is>
      </c>
      <c r="E509" s="27" t="inlineStr">
        <is>
          <t>H4</t>
        </is>
      </c>
      <c r="F509" s="27" t="inlineStr">
        <is>
          <t>close</t>
        </is>
      </c>
      <c r="G509" s="27" t="inlineStr">
        <is>
          <t>Loss</t>
        </is>
      </c>
      <c r="H509" s="65" t="inlineStr">
        <is>
          <t>10_56871255_DAXEUR_sell_H4_close_2026-08-03-093027.png</t>
        </is>
      </c>
      <c r="I509" s="23" t="inlineStr">
        <is>
          <t>3214929/DAXEUR/2026-08-03_56871255_DAXEUR_sell_loss</t>
        </is>
      </c>
    </row>
    <row r="510">
      <c r="A510" s="24" t="n">
        <v>57</v>
      </c>
      <c r="B510" s="26" t="n">
        <v>56871255</v>
      </c>
      <c r="C510" s="27" t="inlineStr">
        <is>
          <t>DAXEUR</t>
        </is>
      </c>
      <c r="D510" s="27" t="inlineStr">
        <is>
          <t>sell</t>
        </is>
      </c>
      <c r="E510" s="27" t="inlineStr">
        <is>
          <t>H1</t>
        </is>
      </c>
      <c r="F510" s="27" t="inlineStr">
        <is>
          <t>close</t>
        </is>
      </c>
      <c r="G510" s="27" t="inlineStr">
        <is>
          <t>Loss</t>
        </is>
      </c>
      <c r="H510" s="65" t="inlineStr">
        <is>
          <t>20_56871255_DAXEUR_sell_H1_close_2026-08-03-093027.png</t>
        </is>
      </c>
      <c r="I510" s="23" t="inlineStr">
        <is>
          <t>3214929/DAXEUR/2026-08-03_56871255_DAXEUR_sell_loss</t>
        </is>
      </c>
    </row>
    <row r="511">
      <c r="A511" s="24" t="n">
        <v>57</v>
      </c>
      <c r="B511" s="26" t="n">
        <v>56871255</v>
      </c>
      <c r="C511" s="27" t="inlineStr">
        <is>
          <t>DAXEUR</t>
        </is>
      </c>
      <c r="D511" s="27" t="inlineStr">
        <is>
          <t>sell</t>
        </is>
      </c>
      <c r="E511" s="27" t="inlineStr">
        <is>
          <t>M15</t>
        </is>
      </c>
      <c r="F511" s="27" t="inlineStr">
        <is>
          <t>close</t>
        </is>
      </c>
      <c r="G511" s="27" t="inlineStr">
        <is>
          <t>Loss</t>
        </is>
      </c>
      <c r="H511" s="65" t="inlineStr">
        <is>
          <t>30_56871255_DAXEUR_sell_M15_close_2026-08-03-093027.png</t>
        </is>
      </c>
      <c r="I511" s="23" t="inlineStr">
        <is>
          <t>3214929/DAXEUR/2026-08-03_56871255_DAXEUR_sell_loss</t>
        </is>
      </c>
    </row>
    <row r="512">
      <c r="A512" s="24" t="n">
        <v>57</v>
      </c>
      <c r="B512" s="26" t="n">
        <v>56871255</v>
      </c>
      <c r="C512" s="27" t="inlineStr">
        <is>
          <t>DAXEUR</t>
        </is>
      </c>
      <c r="D512" s="27" t="inlineStr">
        <is>
          <t>sell</t>
        </is>
      </c>
      <c r="E512" s="27" t="inlineStr">
        <is>
          <t>M15</t>
        </is>
      </c>
      <c r="F512" s="27" t="inlineStr">
        <is>
          <t>open</t>
        </is>
      </c>
      <c r="G512" s="27" t="inlineStr">
        <is>
          <t>Loss</t>
        </is>
      </c>
      <c r="H512" s="65" t="inlineStr">
        <is>
          <t>30_56871255_DAXEUR_sell_M15_open_2026-08-03-085929.png</t>
        </is>
      </c>
      <c r="I512" s="23" t="inlineStr">
        <is>
          <t>3214929/DAXEUR/2026-08-03_56871255_DAXEUR_sell_loss</t>
        </is>
      </c>
    </row>
    <row r="513">
      <c r="A513" s="24" t="n">
        <v>57</v>
      </c>
      <c r="B513" s="26" t="n">
        <v>56871255</v>
      </c>
      <c r="C513" s="27" t="inlineStr">
        <is>
          <t>DAXEUR</t>
        </is>
      </c>
      <c r="D513" s="27" t="inlineStr">
        <is>
          <t>sell</t>
        </is>
      </c>
      <c r="E513" s="27" t="inlineStr">
        <is>
          <t>M5</t>
        </is>
      </c>
      <c r="F513" s="27" t="inlineStr">
        <is>
          <t>close</t>
        </is>
      </c>
      <c r="G513" s="27" t="inlineStr">
        <is>
          <t>Loss</t>
        </is>
      </c>
      <c r="H513" s="65" t="inlineStr">
        <is>
          <t>40_56871255_DAXEUR_sell_M5_close_2026-08-03-093027.png</t>
        </is>
      </c>
      <c r="I513" s="23" t="inlineStr">
        <is>
          <t>3214929/DAXEUR/2026-08-03_56871255_DAXEUR_sell_loss</t>
        </is>
      </c>
    </row>
    <row r="514">
      <c r="A514" s="24" t="n">
        <v>57</v>
      </c>
      <c r="B514" s="26" t="n">
        <v>56871255</v>
      </c>
      <c r="C514" s="27" t="inlineStr">
        <is>
          <t>DAXEUR</t>
        </is>
      </c>
      <c r="D514" s="27" t="inlineStr">
        <is>
          <t>sell</t>
        </is>
      </c>
      <c r="E514" s="27" t="inlineStr">
        <is>
          <t>M5</t>
        </is>
      </c>
      <c r="F514" s="27" t="inlineStr">
        <is>
          <t>open</t>
        </is>
      </c>
      <c r="G514" s="27" t="inlineStr">
        <is>
          <t>Loss</t>
        </is>
      </c>
      <c r="H514" s="65" t="inlineStr">
        <is>
          <t>40_56871255_DAXEUR_sell_M5_open_2026-08-03-085929.png</t>
        </is>
      </c>
      <c r="I514" s="23" t="inlineStr">
        <is>
          <t>3214929/DAXEUR/2026-08-03_56871255_DAXEUR_sell_loss</t>
        </is>
      </c>
    </row>
    <row r="515">
      <c r="A515" s="24" t="n">
        <v>57</v>
      </c>
      <c r="B515" s="26" t="n">
        <v>56871255</v>
      </c>
      <c r="C515" s="27" t="inlineStr">
        <is>
          <t>DAXEUR</t>
        </is>
      </c>
      <c r="D515" s="27" t="inlineStr">
        <is>
          <t>sell</t>
        </is>
      </c>
      <c r="E515" s="27" t="inlineStr">
        <is>
          <t>M1</t>
        </is>
      </c>
      <c r="F515" s="27" t="inlineStr">
        <is>
          <t>close</t>
        </is>
      </c>
      <c r="G515" s="27" t="inlineStr">
        <is>
          <t>Loss</t>
        </is>
      </c>
      <c r="H515" s="65" t="inlineStr">
        <is>
          <t>50_56871255_DAXEUR_sell_M1_close_2026-08-03-093027.png</t>
        </is>
      </c>
      <c r="I515" s="23" t="inlineStr">
        <is>
          <t>3214929/DAXEUR/2026-08-03_56871255_DAXEUR_sell_loss</t>
        </is>
      </c>
    </row>
    <row r="516">
      <c r="A516" s="24" t="n">
        <v>57</v>
      </c>
      <c r="B516" s="26" t="n">
        <v>56871255</v>
      </c>
      <c r="C516" s="27" t="inlineStr">
        <is>
          <t>DAXEUR</t>
        </is>
      </c>
      <c r="D516" s="27" t="inlineStr">
        <is>
          <t>sell</t>
        </is>
      </c>
      <c r="E516" s="27" t="inlineStr">
        <is>
          <t>M1</t>
        </is>
      </c>
      <c r="F516" s="27" t="inlineStr">
        <is>
          <t>journey</t>
        </is>
      </c>
      <c r="G516" s="27" t="inlineStr">
        <is>
          <t>Loss</t>
        </is>
      </c>
      <c r="H516" s="65" t="inlineStr">
        <is>
          <t>50_56871255_DAXEUR_sell_M1_journey_2026-08-03-085929.png</t>
        </is>
      </c>
      <c r="I516" s="23" t="inlineStr">
        <is>
          <t>3214929/DAXEUR/2026-08-03_56871255_DAXEUR_sell_loss</t>
        </is>
      </c>
    </row>
    <row r="517">
      <c r="A517" s="24" t="n">
        <v>57</v>
      </c>
      <c r="B517" s="26" t="n">
        <v>56871255</v>
      </c>
      <c r="C517" s="27" t="inlineStr">
        <is>
          <t>DAXEUR</t>
        </is>
      </c>
      <c r="D517" s="27" t="inlineStr">
        <is>
          <t>sell</t>
        </is>
      </c>
      <c r="E517" s="27" t="inlineStr">
        <is>
          <t>M1</t>
        </is>
      </c>
      <c r="F517" s="27" t="inlineStr">
        <is>
          <t>open</t>
        </is>
      </c>
      <c r="G517" s="27" t="inlineStr">
        <is>
          <t>Loss</t>
        </is>
      </c>
      <c r="H517" s="65" t="inlineStr">
        <is>
          <t>50_56871255_DAXEUR_sell_M1_open_2026-08-03-085929.png</t>
        </is>
      </c>
      <c r="I517" s="23" t="inlineStr">
        <is>
          <t>3214929/DAXEUR/2026-08-03_56871255_DAXEUR_sell_loss</t>
        </is>
      </c>
    </row>
    <row r="518">
      <c r="A518" s="24" t="n">
        <v>58</v>
      </c>
      <c r="B518" s="26" t="n">
        <v>56887531</v>
      </c>
      <c r="C518" s="27" t="inlineStr">
        <is>
          <t>DAXEUR</t>
        </is>
      </c>
      <c r="D518" s="27" t="inlineStr">
        <is>
          <t>sell</t>
        </is>
      </c>
      <c r="E518" s="27" t="inlineStr">
        <is>
          <t>H4</t>
        </is>
      </c>
      <c r="F518" s="27" t="inlineStr">
        <is>
          <t>close</t>
        </is>
      </c>
      <c r="G518" s="27" t="inlineStr">
        <is>
          <t>Win</t>
        </is>
      </c>
      <c r="H518" s="65" t="inlineStr">
        <is>
          <t>10_56887531_DAXEUR_sell_H4_close_2026-08-03-095847.png</t>
        </is>
      </c>
      <c r="I518" s="23" t="inlineStr">
        <is>
          <t>3214929/DAXEUR/2026-08-03_56887531_DAXEUR_sell_win</t>
        </is>
      </c>
    </row>
    <row r="519">
      <c r="A519" s="24" t="n">
        <v>58</v>
      </c>
      <c r="B519" s="26" t="n">
        <v>56887531</v>
      </c>
      <c r="C519" s="27" t="inlineStr">
        <is>
          <t>DAXEUR</t>
        </is>
      </c>
      <c r="D519" s="27" t="inlineStr">
        <is>
          <t>sell</t>
        </is>
      </c>
      <c r="E519" s="27" t="inlineStr">
        <is>
          <t>H1</t>
        </is>
      </c>
      <c r="F519" s="27" t="inlineStr">
        <is>
          <t>close</t>
        </is>
      </c>
      <c r="G519" s="27" t="inlineStr">
        <is>
          <t>Win</t>
        </is>
      </c>
      <c r="H519" s="65" t="inlineStr">
        <is>
          <t>20_56887531_DAXEUR_sell_H1_close_2026-08-03-095847.png</t>
        </is>
      </c>
      <c r="I519" s="23" t="inlineStr">
        <is>
          <t>3214929/DAXEUR/2026-08-03_56887531_DAXEUR_sell_win</t>
        </is>
      </c>
    </row>
    <row r="520">
      <c r="A520" s="24" t="n">
        <v>58</v>
      </c>
      <c r="B520" s="26" t="n">
        <v>56887531</v>
      </c>
      <c r="C520" s="27" t="inlineStr">
        <is>
          <t>DAXEUR</t>
        </is>
      </c>
      <c r="D520" s="27" t="inlineStr">
        <is>
          <t>sell</t>
        </is>
      </c>
      <c r="E520" s="27" t="inlineStr">
        <is>
          <t>M15</t>
        </is>
      </c>
      <c r="F520" s="27" t="inlineStr">
        <is>
          <t>close</t>
        </is>
      </c>
      <c r="G520" s="27" t="inlineStr">
        <is>
          <t>Win</t>
        </is>
      </c>
      <c r="H520" s="65" t="inlineStr">
        <is>
          <t>30_56887531_DAXEUR_sell_M15_close_2026-08-03-095847.png</t>
        </is>
      </c>
      <c r="I520" s="23" t="inlineStr">
        <is>
          <t>3214929/DAXEUR/2026-08-03_56887531_DAXEUR_sell_win</t>
        </is>
      </c>
    </row>
    <row r="521">
      <c r="A521" s="24" t="n">
        <v>58</v>
      </c>
      <c r="B521" s="26" t="n">
        <v>56887531</v>
      </c>
      <c r="C521" s="27" t="inlineStr">
        <is>
          <t>DAXEUR</t>
        </is>
      </c>
      <c r="D521" s="27" t="inlineStr">
        <is>
          <t>sell</t>
        </is>
      </c>
      <c r="E521" s="27" t="inlineStr">
        <is>
          <t>M15</t>
        </is>
      </c>
      <c r="F521" s="27" t="inlineStr">
        <is>
          <t>open</t>
        </is>
      </c>
      <c r="G521" s="27" t="inlineStr">
        <is>
          <t>Win</t>
        </is>
      </c>
      <c r="H521" s="65" t="inlineStr">
        <is>
          <t>30_56887531_DAXEUR_sell_M15_open_2026-08-03-094916.png</t>
        </is>
      </c>
      <c r="I521" s="23" t="inlineStr">
        <is>
          <t>3214929/DAXEUR/2026-08-03_56887531_DAXEUR_sell_win</t>
        </is>
      </c>
    </row>
    <row r="522">
      <c r="A522" s="24" t="n">
        <v>58</v>
      </c>
      <c r="B522" s="26" t="n">
        <v>56887531</v>
      </c>
      <c r="C522" s="27" t="inlineStr">
        <is>
          <t>DAXEUR</t>
        </is>
      </c>
      <c r="D522" s="27" t="inlineStr">
        <is>
          <t>sell</t>
        </is>
      </c>
      <c r="E522" s="27" t="inlineStr">
        <is>
          <t>M5</t>
        </is>
      </c>
      <c r="F522" s="27" t="inlineStr">
        <is>
          <t>close</t>
        </is>
      </c>
      <c r="G522" s="27" t="inlineStr">
        <is>
          <t>Win</t>
        </is>
      </c>
      <c r="H522" s="65" t="inlineStr">
        <is>
          <t>40_56887531_DAXEUR_sell_M5_close_2026-08-03-095847.png</t>
        </is>
      </c>
      <c r="I522" s="23" t="inlineStr">
        <is>
          <t>3214929/DAXEUR/2026-08-03_56887531_DAXEUR_sell_win</t>
        </is>
      </c>
    </row>
    <row r="523">
      <c r="A523" s="24" t="n">
        <v>58</v>
      </c>
      <c r="B523" s="26" t="n">
        <v>56887531</v>
      </c>
      <c r="C523" s="27" t="inlineStr">
        <is>
          <t>DAXEUR</t>
        </is>
      </c>
      <c r="D523" s="27" t="inlineStr">
        <is>
          <t>sell</t>
        </is>
      </c>
      <c r="E523" s="27" t="inlineStr">
        <is>
          <t>M5</t>
        </is>
      </c>
      <c r="F523" s="27" t="inlineStr">
        <is>
          <t>open</t>
        </is>
      </c>
      <c r="G523" s="27" t="inlineStr">
        <is>
          <t>Win</t>
        </is>
      </c>
      <c r="H523" s="65" t="inlineStr">
        <is>
          <t>40_56887531_DAXEUR_sell_M5_open_2026-08-03-094916.png</t>
        </is>
      </c>
      <c r="I523" s="23" t="inlineStr">
        <is>
          <t>3214929/DAXEUR/2026-08-03_56887531_DAXEUR_sell_win</t>
        </is>
      </c>
    </row>
    <row r="524">
      <c r="A524" s="24" t="n">
        <v>58</v>
      </c>
      <c r="B524" s="26" t="n">
        <v>56887531</v>
      </c>
      <c r="C524" s="27" t="inlineStr">
        <is>
          <t>DAXEUR</t>
        </is>
      </c>
      <c r="D524" s="27" t="inlineStr">
        <is>
          <t>sell</t>
        </is>
      </c>
      <c r="E524" s="27" t="inlineStr">
        <is>
          <t>M1</t>
        </is>
      </c>
      <c r="F524" s="27" t="inlineStr">
        <is>
          <t>close</t>
        </is>
      </c>
      <c r="G524" s="27" t="inlineStr">
        <is>
          <t>Win</t>
        </is>
      </c>
      <c r="H524" s="65" t="inlineStr">
        <is>
          <t>50_56887531_DAXEUR_sell_M1_close_2026-08-03-095847.png</t>
        </is>
      </c>
      <c r="I524" s="23" t="inlineStr">
        <is>
          <t>3214929/DAXEUR/2026-08-03_56887531_DAXEUR_sell_win</t>
        </is>
      </c>
    </row>
    <row r="525">
      <c r="A525" s="24" t="n">
        <v>58</v>
      </c>
      <c r="B525" s="26" t="n">
        <v>56887531</v>
      </c>
      <c r="C525" s="27" t="inlineStr">
        <is>
          <t>DAXEUR</t>
        </is>
      </c>
      <c r="D525" s="27" t="inlineStr">
        <is>
          <t>sell</t>
        </is>
      </c>
      <c r="E525" s="27" t="inlineStr">
        <is>
          <t>M1</t>
        </is>
      </c>
      <c r="F525" s="27" t="inlineStr">
        <is>
          <t>journey</t>
        </is>
      </c>
      <c r="G525" s="27" t="inlineStr">
        <is>
          <t>Win</t>
        </is>
      </c>
      <c r="H525" s="65" t="inlineStr">
        <is>
          <t>50_56887531_DAXEUR_sell_M1_journey_2026-08-03-094916.png</t>
        </is>
      </c>
      <c r="I525" s="23" t="inlineStr">
        <is>
          <t>3214929/DAXEUR/2026-08-03_56887531_DAXEUR_sell_win</t>
        </is>
      </c>
    </row>
    <row r="526">
      <c r="A526" s="24" t="n">
        <v>58</v>
      </c>
      <c r="B526" s="26" t="n">
        <v>56887531</v>
      </c>
      <c r="C526" s="27" t="inlineStr">
        <is>
          <t>DAXEUR</t>
        </is>
      </c>
      <c r="D526" s="27" t="inlineStr">
        <is>
          <t>sell</t>
        </is>
      </c>
      <c r="E526" s="27" t="inlineStr">
        <is>
          <t>M1</t>
        </is>
      </c>
      <c r="F526" s="27" t="inlineStr">
        <is>
          <t>open</t>
        </is>
      </c>
      <c r="G526" s="27" t="inlineStr">
        <is>
          <t>Win</t>
        </is>
      </c>
      <c r="H526" s="65" t="inlineStr">
        <is>
          <t>50_56887531_DAXEUR_sell_M1_open_2026-08-03-094916.png</t>
        </is>
      </c>
      <c r="I526" s="23" t="inlineStr">
        <is>
          <t>3214929/DAXEUR/2026-08-03_56887531_DAXEUR_sell_win</t>
        </is>
      </c>
    </row>
    <row r="527">
      <c r="A527" s="24" t="n">
        <v>59</v>
      </c>
      <c r="B527" s="26" t="n">
        <v>56885565</v>
      </c>
      <c r="C527" s="27" t="inlineStr">
        <is>
          <t>DAXEUR</t>
        </is>
      </c>
      <c r="D527" s="27" t="inlineStr">
        <is>
          <t>sell</t>
        </is>
      </c>
      <c r="E527" s="27" t="inlineStr">
        <is>
          <t>H4</t>
        </is>
      </c>
      <c r="F527" s="27" t="inlineStr">
        <is>
          <t>close</t>
        </is>
      </c>
      <c r="G527" s="27" t="inlineStr">
        <is>
          <t>Win</t>
        </is>
      </c>
      <c r="H527" s="65" t="inlineStr">
        <is>
          <t>10_56885565_DAXEUR_sell_H4_close_2026-08-03-101023.png</t>
        </is>
      </c>
      <c r="I527" s="23" t="inlineStr">
        <is>
          <t>3214929/DAXEUR/2026-08-03_56885565_DAXEUR_sell_win</t>
        </is>
      </c>
    </row>
    <row r="528">
      <c r="A528" s="24" t="n">
        <v>59</v>
      </c>
      <c r="B528" s="26" t="n">
        <v>56885565</v>
      </c>
      <c r="C528" s="27" t="inlineStr">
        <is>
          <t>DAXEUR</t>
        </is>
      </c>
      <c r="D528" s="27" t="inlineStr">
        <is>
          <t>sell</t>
        </is>
      </c>
      <c r="E528" s="27" t="inlineStr">
        <is>
          <t>H1</t>
        </is>
      </c>
      <c r="F528" s="27" t="inlineStr">
        <is>
          <t>close</t>
        </is>
      </c>
      <c r="G528" s="27" t="inlineStr">
        <is>
          <t>Win</t>
        </is>
      </c>
      <c r="H528" s="65" t="inlineStr">
        <is>
          <t>20_56885565_DAXEUR_sell_H1_close_2026-08-03-101023.png</t>
        </is>
      </c>
      <c r="I528" s="23" t="inlineStr">
        <is>
          <t>3214929/DAXEUR/2026-08-03_56885565_DAXEUR_sell_win</t>
        </is>
      </c>
    </row>
    <row r="529">
      <c r="A529" s="24" t="n">
        <v>59</v>
      </c>
      <c r="B529" s="26" t="n">
        <v>56885565</v>
      </c>
      <c r="C529" s="27" t="inlineStr">
        <is>
          <t>DAXEUR</t>
        </is>
      </c>
      <c r="D529" s="27" t="inlineStr">
        <is>
          <t>sell</t>
        </is>
      </c>
      <c r="E529" s="27" t="inlineStr">
        <is>
          <t>M15</t>
        </is>
      </c>
      <c r="F529" s="27" t="inlineStr">
        <is>
          <t>close</t>
        </is>
      </c>
      <c r="G529" s="27" t="inlineStr">
        <is>
          <t>Win</t>
        </is>
      </c>
      <c r="H529" s="65" t="inlineStr">
        <is>
          <t>30_56885565_DAXEUR_sell_M15_close_2026-08-03-101023.png</t>
        </is>
      </c>
      <c r="I529" s="23" t="inlineStr">
        <is>
          <t>3214929/DAXEUR/2026-08-03_56885565_DAXEUR_sell_win</t>
        </is>
      </c>
    </row>
    <row r="530">
      <c r="A530" s="24" t="n">
        <v>59</v>
      </c>
      <c r="B530" s="26" t="n">
        <v>56885565</v>
      </c>
      <c r="C530" s="27" t="inlineStr">
        <is>
          <t>DAXEUR</t>
        </is>
      </c>
      <c r="D530" s="27" t="inlineStr">
        <is>
          <t>sell</t>
        </is>
      </c>
      <c r="E530" s="27" t="inlineStr">
        <is>
          <t>M15</t>
        </is>
      </c>
      <c r="F530" s="27" t="inlineStr">
        <is>
          <t>open</t>
        </is>
      </c>
      <c r="G530" s="27" t="inlineStr">
        <is>
          <t>Win</t>
        </is>
      </c>
      <c r="H530" s="65" t="inlineStr">
        <is>
          <t>30_56885565_DAXEUR_sell_M15_open_2026-08-03-094801.png</t>
        </is>
      </c>
      <c r="I530" s="23" t="inlineStr">
        <is>
          <t>3214929/DAXEUR/2026-08-03_56885565_DAXEUR_sell_win</t>
        </is>
      </c>
    </row>
    <row r="531">
      <c r="A531" s="24" t="n">
        <v>59</v>
      </c>
      <c r="B531" s="26" t="n">
        <v>56885565</v>
      </c>
      <c r="C531" s="27" t="inlineStr">
        <is>
          <t>DAXEUR</t>
        </is>
      </c>
      <c r="D531" s="27" t="inlineStr">
        <is>
          <t>sell</t>
        </is>
      </c>
      <c r="E531" s="27" t="inlineStr">
        <is>
          <t>M5</t>
        </is>
      </c>
      <c r="F531" s="27" t="inlineStr">
        <is>
          <t>close</t>
        </is>
      </c>
      <c r="G531" s="27" t="inlineStr">
        <is>
          <t>Win</t>
        </is>
      </c>
      <c r="H531" s="65" t="inlineStr">
        <is>
          <t>40_56885565_DAXEUR_sell_M5_close_2026-08-03-101023.png</t>
        </is>
      </c>
      <c r="I531" s="23" t="inlineStr">
        <is>
          <t>3214929/DAXEUR/2026-08-03_56885565_DAXEUR_sell_win</t>
        </is>
      </c>
    </row>
    <row r="532">
      <c r="A532" s="24" t="n">
        <v>59</v>
      </c>
      <c r="B532" s="26" t="n">
        <v>56885565</v>
      </c>
      <c r="C532" s="27" t="inlineStr">
        <is>
          <t>DAXEUR</t>
        </is>
      </c>
      <c r="D532" s="27" t="inlineStr">
        <is>
          <t>sell</t>
        </is>
      </c>
      <c r="E532" s="27" t="inlineStr">
        <is>
          <t>M5</t>
        </is>
      </c>
      <c r="F532" s="27" t="inlineStr">
        <is>
          <t>open</t>
        </is>
      </c>
      <c r="G532" s="27" t="inlineStr">
        <is>
          <t>Win</t>
        </is>
      </c>
      <c r="H532" s="65" t="inlineStr">
        <is>
          <t>40_56885565_DAXEUR_sell_M5_open_2026-08-03-094801.png</t>
        </is>
      </c>
      <c r="I532" s="23" t="inlineStr">
        <is>
          <t>3214929/DAXEUR/2026-08-03_56885565_DAXEUR_sell_win</t>
        </is>
      </c>
    </row>
    <row r="533">
      <c r="A533" s="24" t="n">
        <v>59</v>
      </c>
      <c r="B533" s="26" t="n">
        <v>56885565</v>
      </c>
      <c r="C533" s="27" t="inlineStr">
        <is>
          <t>DAXEUR</t>
        </is>
      </c>
      <c r="D533" s="27" t="inlineStr">
        <is>
          <t>sell</t>
        </is>
      </c>
      <c r="E533" s="27" t="inlineStr">
        <is>
          <t>M1</t>
        </is>
      </c>
      <c r="F533" s="27" t="inlineStr">
        <is>
          <t>close</t>
        </is>
      </c>
      <c r="G533" s="27" t="inlineStr">
        <is>
          <t>Win</t>
        </is>
      </c>
      <c r="H533" s="65" t="inlineStr">
        <is>
          <t>50_56885565_DAXEUR_sell_M1_close_2026-08-03-101023.png</t>
        </is>
      </c>
      <c r="I533" s="23" t="inlineStr">
        <is>
          <t>3214929/DAXEUR/2026-08-03_56885565_DAXEUR_sell_win</t>
        </is>
      </c>
    </row>
    <row r="534">
      <c r="A534" s="24" t="n">
        <v>59</v>
      </c>
      <c r="B534" s="26" t="n">
        <v>56885565</v>
      </c>
      <c r="C534" s="27" t="inlineStr">
        <is>
          <t>DAXEUR</t>
        </is>
      </c>
      <c r="D534" s="27" t="inlineStr">
        <is>
          <t>sell</t>
        </is>
      </c>
      <c r="E534" s="27" t="inlineStr">
        <is>
          <t>M1</t>
        </is>
      </c>
      <c r="F534" s="27" t="inlineStr">
        <is>
          <t>journey</t>
        </is>
      </c>
      <c r="G534" s="27" t="inlineStr">
        <is>
          <t>Win</t>
        </is>
      </c>
      <c r="H534" s="65" t="inlineStr">
        <is>
          <t>50_56885565_DAXEUR_sell_M1_journey_2026-08-03-094801.png</t>
        </is>
      </c>
      <c r="I534" s="23" t="inlineStr">
        <is>
          <t>3214929/DAXEUR/2026-08-03_56885565_DAXEUR_sell_win</t>
        </is>
      </c>
    </row>
    <row r="535">
      <c r="A535" s="24" t="n">
        <v>59</v>
      </c>
      <c r="B535" s="26" t="n">
        <v>56885565</v>
      </c>
      <c r="C535" s="27" t="inlineStr">
        <is>
          <t>DAXEUR</t>
        </is>
      </c>
      <c r="D535" s="27" t="inlineStr">
        <is>
          <t>sell</t>
        </is>
      </c>
      <c r="E535" s="27" t="inlineStr">
        <is>
          <t>M1</t>
        </is>
      </c>
      <c r="F535" s="27" t="inlineStr">
        <is>
          <t>open</t>
        </is>
      </c>
      <c r="G535" s="27" t="inlineStr">
        <is>
          <t>Win</t>
        </is>
      </c>
      <c r="H535" s="65" t="inlineStr">
        <is>
          <t>50_56885565_DAXEUR_sell_M1_open_2026-08-03-094801.png</t>
        </is>
      </c>
      <c r="I535" s="23" t="inlineStr">
        <is>
          <t>3214929/DAXEUR/2026-08-03_56885565_DAXEUR_sell_win</t>
        </is>
      </c>
    </row>
    <row r="536">
      <c r="A536" s="24" t="n">
        <v>60</v>
      </c>
      <c r="B536" s="26" t="n">
        <v>56906785</v>
      </c>
      <c r="C536" s="27" t="inlineStr">
        <is>
          <t>XAUUSD</t>
        </is>
      </c>
      <c r="D536" s="27" t="inlineStr">
        <is>
          <t>buy</t>
        </is>
      </c>
      <c r="E536" s="27" t="inlineStr">
        <is>
          <t>H4</t>
        </is>
      </c>
      <c r="F536" s="27" t="inlineStr">
        <is>
          <t>close</t>
        </is>
      </c>
      <c r="G536" s="27" t="inlineStr">
        <is>
          <t>Win</t>
        </is>
      </c>
      <c r="H536" s="65" t="inlineStr">
        <is>
          <t>10_56906785_XAUUSD_buy_H4_close_2026-08-03-114955.png</t>
        </is>
      </c>
      <c r="I536" s="23" t="inlineStr">
        <is>
          <t>3214929/XAUUSD/2026-08-03_56906785_XAUUSD_buy_win</t>
        </is>
      </c>
    </row>
    <row r="537">
      <c r="A537" s="24" t="n">
        <v>60</v>
      </c>
      <c r="B537" s="26" t="n">
        <v>56906785</v>
      </c>
      <c r="C537" s="27" t="inlineStr">
        <is>
          <t>XAUUSD</t>
        </is>
      </c>
      <c r="D537" s="27" t="inlineStr">
        <is>
          <t>buy</t>
        </is>
      </c>
      <c r="E537" s="27" t="inlineStr">
        <is>
          <t>H1</t>
        </is>
      </c>
      <c r="F537" s="27" t="inlineStr">
        <is>
          <t>close</t>
        </is>
      </c>
      <c r="G537" s="27" t="inlineStr">
        <is>
          <t>Win</t>
        </is>
      </c>
      <c r="H537" s="65" t="inlineStr">
        <is>
          <t>20_56906785_XAUUSD_buy_H1_close_2026-08-03-114955.png</t>
        </is>
      </c>
      <c r="I537" s="23" t="inlineStr">
        <is>
          <t>3214929/XAUUSD/2026-08-03_56906785_XAUUSD_buy_win</t>
        </is>
      </c>
    </row>
    <row r="538">
      <c r="A538" s="24" t="n">
        <v>60</v>
      </c>
      <c r="B538" s="26" t="n">
        <v>56906785</v>
      </c>
      <c r="C538" s="27" t="inlineStr">
        <is>
          <t>XAUUSD</t>
        </is>
      </c>
      <c r="D538" s="27" t="inlineStr">
        <is>
          <t>buy</t>
        </is>
      </c>
      <c r="E538" s="27" t="inlineStr">
        <is>
          <t>M15</t>
        </is>
      </c>
      <c r="F538" s="27" t="inlineStr">
        <is>
          <t>close</t>
        </is>
      </c>
      <c r="G538" s="27" t="inlineStr">
        <is>
          <t>Win</t>
        </is>
      </c>
      <c r="H538" s="65" t="inlineStr">
        <is>
          <t>30_56906785_XAUUSD_buy_M15_close_2026-08-03-114955.png</t>
        </is>
      </c>
      <c r="I538" s="23" t="inlineStr">
        <is>
          <t>3214929/XAUUSD/2026-08-03_56906785_XAUUSD_buy_win</t>
        </is>
      </c>
    </row>
    <row r="539">
      <c r="A539" s="24" t="n">
        <v>60</v>
      </c>
      <c r="B539" s="26" t="n">
        <v>56906785</v>
      </c>
      <c r="C539" s="27" t="inlineStr">
        <is>
          <t>XAUUSD</t>
        </is>
      </c>
      <c r="D539" s="27" t="inlineStr">
        <is>
          <t>buy</t>
        </is>
      </c>
      <c r="E539" s="27" t="inlineStr">
        <is>
          <t>M15</t>
        </is>
      </c>
      <c r="F539" s="27" t="inlineStr">
        <is>
          <t>open</t>
        </is>
      </c>
      <c r="G539" s="27" t="inlineStr">
        <is>
          <t>Win</t>
        </is>
      </c>
      <c r="H539" s="65" t="inlineStr">
        <is>
          <t>30_56906785_XAUUSD_buy_M15_open_2026-08-03-112142.png</t>
        </is>
      </c>
      <c r="I539" s="23" t="inlineStr">
        <is>
          <t>3214929/XAUUSD/2026-08-03_56906785_XAUUSD_buy_win</t>
        </is>
      </c>
    </row>
    <row r="540">
      <c r="A540" s="24" t="n">
        <v>60</v>
      </c>
      <c r="B540" s="26" t="n">
        <v>56906785</v>
      </c>
      <c r="C540" s="27" t="inlineStr">
        <is>
          <t>XAUUSD</t>
        </is>
      </c>
      <c r="D540" s="27" t="inlineStr">
        <is>
          <t>buy</t>
        </is>
      </c>
      <c r="E540" s="27" t="inlineStr">
        <is>
          <t>M5</t>
        </is>
      </c>
      <c r="F540" s="27" t="inlineStr">
        <is>
          <t>close</t>
        </is>
      </c>
      <c r="G540" s="27" t="inlineStr">
        <is>
          <t>Win</t>
        </is>
      </c>
      <c r="H540" s="65" t="inlineStr">
        <is>
          <t>40_56906785_XAUUSD_buy_M5_close_2026-08-03-114955.png</t>
        </is>
      </c>
      <c r="I540" s="23" t="inlineStr">
        <is>
          <t>3214929/XAUUSD/2026-08-03_56906785_XAUUSD_buy_win</t>
        </is>
      </c>
    </row>
    <row r="541">
      <c r="A541" s="24" t="n">
        <v>60</v>
      </c>
      <c r="B541" s="26" t="n">
        <v>56906785</v>
      </c>
      <c r="C541" s="27" t="inlineStr">
        <is>
          <t>XAUUSD</t>
        </is>
      </c>
      <c r="D541" s="27" t="inlineStr">
        <is>
          <t>buy</t>
        </is>
      </c>
      <c r="E541" s="27" t="inlineStr">
        <is>
          <t>M5</t>
        </is>
      </c>
      <c r="F541" s="27" t="inlineStr">
        <is>
          <t>open</t>
        </is>
      </c>
      <c r="G541" s="27" t="inlineStr">
        <is>
          <t>Win</t>
        </is>
      </c>
      <c r="H541" s="65" t="inlineStr">
        <is>
          <t>40_56906785_XAUUSD_buy_M5_open_2026-08-03-112142.png</t>
        </is>
      </c>
      <c r="I541" s="23" t="inlineStr">
        <is>
          <t>3214929/XAUUSD/2026-08-03_56906785_XAUUSD_buy_win</t>
        </is>
      </c>
    </row>
    <row r="542">
      <c r="A542" s="24" t="n">
        <v>60</v>
      </c>
      <c r="B542" s="26" t="n">
        <v>56906785</v>
      </c>
      <c r="C542" s="27" t="inlineStr">
        <is>
          <t>XAUUSD</t>
        </is>
      </c>
      <c r="D542" s="27" t="inlineStr">
        <is>
          <t>buy</t>
        </is>
      </c>
      <c r="E542" s="27" t="inlineStr">
        <is>
          <t>M1</t>
        </is>
      </c>
      <c r="F542" s="27" t="inlineStr">
        <is>
          <t>close</t>
        </is>
      </c>
      <c r="G542" s="27" t="inlineStr">
        <is>
          <t>Win</t>
        </is>
      </c>
      <c r="H542" s="65" t="inlineStr">
        <is>
          <t>50_56906785_XAUUSD_buy_M1_close_2026-08-03-114955.png</t>
        </is>
      </c>
      <c r="I542" s="23" t="inlineStr">
        <is>
          <t>3214929/XAUUSD/2026-08-03_56906785_XAUUSD_buy_win</t>
        </is>
      </c>
    </row>
    <row r="543">
      <c r="A543" s="24" t="n">
        <v>60</v>
      </c>
      <c r="B543" s="26" t="n">
        <v>56906785</v>
      </c>
      <c r="C543" s="27" t="inlineStr">
        <is>
          <t>XAUUSD</t>
        </is>
      </c>
      <c r="D543" s="27" t="inlineStr">
        <is>
          <t>buy</t>
        </is>
      </c>
      <c r="E543" s="27" t="inlineStr">
        <is>
          <t>M1</t>
        </is>
      </c>
      <c r="F543" s="27" t="inlineStr">
        <is>
          <t>journey</t>
        </is>
      </c>
      <c r="G543" s="27" t="inlineStr">
        <is>
          <t>Win</t>
        </is>
      </c>
      <c r="H543" s="65" t="inlineStr">
        <is>
          <t>50_56906785_XAUUSD_buy_M1_journey_2026-08-03-112142.png</t>
        </is>
      </c>
      <c r="I543" s="23" t="inlineStr">
        <is>
          <t>3214929/XAUUSD/2026-08-03_56906785_XAUUSD_buy_win</t>
        </is>
      </c>
    </row>
    <row r="544">
      <c r="A544" s="24" t="n">
        <v>60</v>
      </c>
      <c r="B544" s="26" t="n">
        <v>56906785</v>
      </c>
      <c r="C544" s="27" t="inlineStr">
        <is>
          <t>XAUUSD</t>
        </is>
      </c>
      <c r="D544" s="27" t="inlineStr">
        <is>
          <t>buy</t>
        </is>
      </c>
      <c r="E544" s="27" t="inlineStr">
        <is>
          <t>M1</t>
        </is>
      </c>
      <c r="F544" s="27" t="inlineStr">
        <is>
          <t>open</t>
        </is>
      </c>
      <c r="G544" s="27" t="inlineStr">
        <is>
          <t>Win</t>
        </is>
      </c>
      <c r="H544" s="65" t="inlineStr">
        <is>
          <t>50_56906785_XAUUSD_buy_M1_open_2026-08-03-112142.png</t>
        </is>
      </c>
      <c r="I544" s="23" t="inlineStr">
        <is>
          <t>3214929/XAUUSD/2026-08-03_56906785_XAUUSD_buy_win</t>
        </is>
      </c>
    </row>
    <row r="545">
      <c r="A545" s="24" t="n">
        <v>61</v>
      </c>
      <c r="B545" s="26" t="n">
        <v>56908570</v>
      </c>
      <c r="C545" s="27" t="inlineStr">
        <is>
          <t>NIKJPY</t>
        </is>
      </c>
      <c r="D545" s="27" t="inlineStr">
        <is>
          <t>buy</t>
        </is>
      </c>
      <c r="E545" s="27" t="inlineStr">
        <is>
          <t>H4</t>
        </is>
      </c>
      <c r="F545" s="27" t="inlineStr">
        <is>
          <t>close</t>
        </is>
      </c>
      <c r="G545" s="27" t="inlineStr">
        <is>
          <t>Loss</t>
        </is>
      </c>
      <c r="H545" s="65" t="inlineStr">
        <is>
          <t>10_56908570_NIKJPY_buy_H4_close_2026-08-03-115105.png</t>
        </is>
      </c>
      <c r="I545" s="23" t="inlineStr">
        <is>
          <t>3214929/NIKJPY/2026-08-03_56908570_NIKJPY_buy_loss</t>
        </is>
      </c>
    </row>
    <row r="546">
      <c r="A546" s="24" t="n">
        <v>61</v>
      </c>
      <c r="B546" s="26" t="n">
        <v>56908570</v>
      </c>
      <c r="C546" s="27" t="inlineStr">
        <is>
          <t>NIKJPY</t>
        </is>
      </c>
      <c r="D546" s="27" t="inlineStr">
        <is>
          <t>buy</t>
        </is>
      </c>
      <c r="E546" s="27" t="inlineStr">
        <is>
          <t>H1</t>
        </is>
      </c>
      <c r="F546" s="27" t="inlineStr">
        <is>
          <t>close</t>
        </is>
      </c>
      <c r="G546" s="27" t="inlineStr">
        <is>
          <t>Loss</t>
        </is>
      </c>
      <c r="H546" s="65" t="inlineStr">
        <is>
          <t>20_56908570_NIKJPY_buy_H1_close_2026-08-03-115105.png</t>
        </is>
      </c>
      <c r="I546" s="23" t="inlineStr">
        <is>
          <t>3214929/NIKJPY/2026-08-03_56908570_NIKJPY_buy_loss</t>
        </is>
      </c>
    </row>
    <row r="547">
      <c r="A547" s="24" t="n">
        <v>61</v>
      </c>
      <c r="B547" s="26" t="n">
        <v>56908570</v>
      </c>
      <c r="C547" s="27" t="inlineStr">
        <is>
          <t>NIKJPY</t>
        </is>
      </c>
      <c r="D547" s="27" t="inlineStr">
        <is>
          <t>buy</t>
        </is>
      </c>
      <c r="E547" s="27" t="inlineStr">
        <is>
          <t>M15</t>
        </is>
      </c>
      <c r="F547" s="27" t="inlineStr">
        <is>
          <t>close</t>
        </is>
      </c>
      <c r="G547" s="27" t="inlineStr">
        <is>
          <t>Loss</t>
        </is>
      </c>
      <c r="H547" s="65" t="inlineStr">
        <is>
          <t>30_56908570_NIKJPY_buy_M15_close_2026-08-03-115105.png</t>
        </is>
      </c>
      <c r="I547" s="23" t="inlineStr">
        <is>
          <t>3214929/NIKJPY/2026-08-03_56908570_NIKJPY_buy_loss</t>
        </is>
      </c>
    </row>
    <row r="548">
      <c r="A548" s="24" t="n">
        <v>61</v>
      </c>
      <c r="B548" s="26" t="n">
        <v>56908570</v>
      </c>
      <c r="C548" s="27" t="inlineStr">
        <is>
          <t>NIKJPY</t>
        </is>
      </c>
      <c r="D548" s="27" t="inlineStr">
        <is>
          <t>buy</t>
        </is>
      </c>
      <c r="E548" s="27" t="inlineStr">
        <is>
          <t>M15</t>
        </is>
      </c>
      <c r="F548" s="27" t="inlineStr">
        <is>
          <t>open</t>
        </is>
      </c>
      <c r="G548" s="27" t="inlineStr">
        <is>
          <t>Loss</t>
        </is>
      </c>
      <c r="H548" s="65" t="inlineStr">
        <is>
          <t>30_56908570_NIKJPY_buy_M15_open_2026-08-03-113945.png</t>
        </is>
      </c>
      <c r="I548" s="23" t="inlineStr">
        <is>
          <t>3214929/NIKJPY/2026-08-03_56908570_NIKJPY_buy_loss</t>
        </is>
      </c>
    </row>
    <row r="549">
      <c r="A549" s="24" t="n">
        <v>61</v>
      </c>
      <c r="B549" s="26" t="n">
        <v>56908570</v>
      </c>
      <c r="C549" s="27" t="inlineStr">
        <is>
          <t>NIKJPY</t>
        </is>
      </c>
      <c r="D549" s="27" t="inlineStr">
        <is>
          <t>buy</t>
        </is>
      </c>
      <c r="E549" s="27" t="inlineStr">
        <is>
          <t>M5</t>
        </is>
      </c>
      <c r="F549" s="27" t="inlineStr">
        <is>
          <t>close</t>
        </is>
      </c>
      <c r="G549" s="27" t="inlineStr">
        <is>
          <t>Loss</t>
        </is>
      </c>
      <c r="H549" s="65" t="inlineStr">
        <is>
          <t>40_56908570_NIKJPY_buy_M5_close_2026-08-03-115105.png</t>
        </is>
      </c>
      <c r="I549" s="23" t="inlineStr">
        <is>
          <t>3214929/NIKJPY/2026-08-03_56908570_NIKJPY_buy_loss</t>
        </is>
      </c>
    </row>
    <row r="550">
      <c r="A550" s="24" t="n">
        <v>61</v>
      </c>
      <c r="B550" s="26" t="n">
        <v>56908570</v>
      </c>
      <c r="C550" s="27" t="inlineStr">
        <is>
          <t>NIKJPY</t>
        </is>
      </c>
      <c r="D550" s="27" t="inlineStr">
        <is>
          <t>buy</t>
        </is>
      </c>
      <c r="E550" s="27" t="inlineStr">
        <is>
          <t>M5</t>
        </is>
      </c>
      <c r="F550" s="27" t="inlineStr">
        <is>
          <t>open</t>
        </is>
      </c>
      <c r="G550" s="27" t="inlineStr">
        <is>
          <t>Loss</t>
        </is>
      </c>
      <c r="H550" s="65" t="inlineStr">
        <is>
          <t>40_56908570_NIKJPY_buy_M5_open_2026-08-03-113945.png</t>
        </is>
      </c>
      <c r="I550" s="23" t="inlineStr">
        <is>
          <t>3214929/NIKJPY/2026-08-03_56908570_NIKJPY_buy_loss</t>
        </is>
      </c>
    </row>
    <row r="551">
      <c r="A551" s="24" t="n">
        <v>61</v>
      </c>
      <c r="B551" s="26" t="n">
        <v>56908570</v>
      </c>
      <c r="C551" s="27" t="inlineStr">
        <is>
          <t>NIKJPY</t>
        </is>
      </c>
      <c r="D551" s="27" t="inlineStr">
        <is>
          <t>buy</t>
        </is>
      </c>
      <c r="E551" s="27" t="inlineStr">
        <is>
          <t>M1</t>
        </is>
      </c>
      <c r="F551" s="27" t="inlineStr">
        <is>
          <t>close</t>
        </is>
      </c>
      <c r="G551" s="27" t="inlineStr">
        <is>
          <t>Loss</t>
        </is>
      </c>
      <c r="H551" s="65" t="inlineStr">
        <is>
          <t>50_56908570_NIKJPY_buy_M1_close_2026-08-03-115105.png</t>
        </is>
      </c>
      <c r="I551" s="23" t="inlineStr">
        <is>
          <t>3214929/NIKJPY/2026-08-03_56908570_NIKJPY_buy_loss</t>
        </is>
      </c>
    </row>
    <row r="552">
      <c r="A552" s="24" t="n">
        <v>61</v>
      </c>
      <c r="B552" s="26" t="n">
        <v>56908570</v>
      </c>
      <c r="C552" s="27" t="inlineStr">
        <is>
          <t>NIKJPY</t>
        </is>
      </c>
      <c r="D552" s="27" t="inlineStr">
        <is>
          <t>buy</t>
        </is>
      </c>
      <c r="E552" s="27" t="inlineStr">
        <is>
          <t>M1</t>
        </is>
      </c>
      <c r="F552" s="27" t="inlineStr">
        <is>
          <t>journey</t>
        </is>
      </c>
      <c r="G552" s="27" t="inlineStr">
        <is>
          <t>Loss</t>
        </is>
      </c>
      <c r="H552" s="65" t="inlineStr">
        <is>
          <t>50_56908570_NIKJPY_buy_M1_journey_2026-08-03-113945.png</t>
        </is>
      </c>
      <c r="I552" s="23" t="inlineStr">
        <is>
          <t>3214929/NIKJPY/2026-08-03_56908570_NIKJPY_buy_loss</t>
        </is>
      </c>
    </row>
    <row r="553">
      <c r="A553" s="24" t="n">
        <v>61</v>
      </c>
      <c r="B553" s="26" t="n">
        <v>56908570</v>
      </c>
      <c r="C553" s="27" t="inlineStr">
        <is>
          <t>NIKJPY</t>
        </is>
      </c>
      <c r="D553" s="27" t="inlineStr">
        <is>
          <t>buy</t>
        </is>
      </c>
      <c r="E553" s="27" t="inlineStr">
        <is>
          <t>M1</t>
        </is>
      </c>
      <c r="F553" s="27" t="inlineStr">
        <is>
          <t>open</t>
        </is>
      </c>
      <c r="G553" s="27" t="inlineStr">
        <is>
          <t>Loss</t>
        </is>
      </c>
      <c r="H553" s="65" t="inlineStr">
        <is>
          <t>50_56908570_NIKJPY_buy_M1_open_2026-08-03-113945.png</t>
        </is>
      </c>
      <c r="I553" s="23" t="inlineStr">
        <is>
          <t>3214929/NIKJPY/2026-08-03_56908570_NIKJPY_buy_loss</t>
        </is>
      </c>
    </row>
    <row r="554">
      <c r="A554" s="24" t="n">
        <v>62</v>
      </c>
      <c r="B554" s="26" t="n">
        <v>57008578</v>
      </c>
      <c r="C554" s="27" t="inlineStr">
        <is>
          <t>DJIUSD</t>
        </is>
      </c>
      <c r="D554" s="27" t="inlineStr">
        <is>
          <t>buy</t>
        </is>
      </c>
      <c r="E554" s="27" t="inlineStr">
        <is>
          <t>H4</t>
        </is>
      </c>
      <c r="F554" s="27" t="inlineStr">
        <is>
          <t>close</t>
        </is>
      </c>
      <c r="G554" s="27" t="inlineStr">
        <is>
          <t>Loss</t>
        </is>
      </c>
      <c r="H554" s="65" t="inlineStr">
        <is>
          <t>10_57008578_DJIUSD_buy_H4_close_2026-08-03-140409.png</t>
        </is>
      </c>
      <c r="I554" s="23" t="inlineStr">
        <is>
          <t>3214929/DJIUSD/2026-08-03_57008578_DJIUSD_buy_loss</t>
        </is>
      </c>
    </row>
    <row r="555">
      <c r="A555" s="24" t="n">
        <v>62</v>
      </c>
      <c r="B555" s="26" t="n">
        <v>57008578</v>
      </c>
      <c r="C555" s="27" t="inlineStr">
        <is>
          <t>DJIUSD</t>
        </is>
      </c>
      <c r="D555" s="27" t="inlineStr">
        <is>
          <t>buy</t>
        </is>
      </c>
      <c r="E555" s="27" t="inlineStr">
        <is>
          <t>H1</t>
        </is>
      </c>
      <c r="F555" s="27" t="inlineStr">
        <is>
          <t>close</t>
        </is>
      </c>
      <c r="G555" s="27" t="inlineStr">
        <is>
          <t>Loss</t>
        </is>
      </c>
      <c r="H555" s="65" t="inlineStr">
        <is>
          <t>20_57008578_DJIUSD_buy_H1_close_2026-08-03-140409.png</t>
        </is>
      </c>
      <c r="I555" s="23" t="inlineStr">
        <is>
          <t>3214929/DJIUSD/2026-08-03_57008578_DJIUSD_buy_loss</t>
        </is>
      </c>
    </row>
    <row r="556">
      <c r="A556" s="24" t="n">
        <v>62</v>
      </c>
      <c r="B556" s="26" t="n">
        <v>57008578</v>
      </c>
      <c r="C556" s="27" t="inlineStr">
        <is>
          <t>DJIUSD</t>
        </is>
      </c>
      <c r="D556" s="27" t="inlineStr">
        <is>
          <t>buy</t>
        </is>
      </c>
      <c r="E556" s="27" t="inlineStr">
        <is>
          <t>M15</t>
        </is>
      </c>
      <c r="F556" s="27" t="inlineStr">
        <is>
          <t>close</t>
        </is>
      </c>
      <c r="G556" s="27" t="inlineStr">
        <is>
          <t>Loss</t>
        </is>
      </c>
      <c r="H556" s="65" t="inlineStr">
        <is>
          <t>30_57008578_DJIUSD_buy_M15_close_2026-08-03-140409.png</t>
        </is>
      </c>
      <c r="I556" s="23" t="inlineStr">
        <is>
          <t>3214929/DJIUSD/2026-08-03_57008578_DJIUSD_buy_loss</t>
        </is>
      </c>
    </row>
    <row r="557">
      <c r="A557" s="24" t="n">
        <v>62</v>
      </c>
      <c r="B557" s="26" t="n">
        <v>57008578</v>
      </c>
      <c r="C557" s="27" t="inlineStr">
        <is>
          <t>DJIUSD</t>
        </is>
      </c>
      <c r="D557" s="27" t="inlineStr">
        <is>
          <t>buy</t>
        </is>
      </c>
      <c r="E557" s="27" t="inlineStr">
        <is>
          <t>M15</t>
        </is>
      </c>
      <c r="F557" s="27" t="inlineStr">
        <is>
          <t>open</t>
        </is>
      </c>
      <c r="G557" s="27" t="inlineStr">
        <is>
          <t>Loss</t>
        </is>
      </c>
      <c r="H557" s="65" t="inlineStr">
        <is>
          <t>30_57008578_DJIUSD_buy_M15_open_2026-08-03-140256.png</t>
        </is>
      </c>
      <c r="I557" s="23" t="inlineStr">
        <is>
          <t>3214929/DJIUSD/2026-08-03_57008578_DJIUSD_buy_loss</t>
        </is>
      </c>
    </row>
    <row r="558">
      <c r="A558" s="24" t="n">
        <v>62</v>
      </c>
      <c r="B558" s="26" t="n">
        <v>57008578</v>
      </c>
      <c r="C558" s="27" t="inlineStr">
        <is>
          <t>DJIUSD</t>
        </is>
      </c>
      <c r="D558" s="27" t="inlineStr">
        <is>
          <t>buy</t>
        </is>
      </c>
      <c r="E558" s="27" t="inlineStr">
        <is>
          <t>M5</t>
        </is>
      </c>
      <c r="F558" s="27" t="inlineStr">
        <is>
          <t>close</t>
        </is>
      </c>
      <c r="G558" s="27" t="inlineStr">
        <is>
          <t>Loss</t>
        </is>
      </c>
      <c r="H558" s="65" t="inlineStr">
        <is>
          <t>40_57008578_DJIUSD_buy_M5_close_2026-08-03-140409.png</t>
        </is>
      </c>
      <c r="I558" s="23" t="inlineStr">
        <is>
          <t>3214929/DJIUSD/2026-08-03_57008578_DJIUSD_buy_loss</t>
        </is>
      </c>
    </row>
    <row r="559">
      <c r="A559" s="24" t="n">
        <v>62</v>
      </c>
      <c r="B559" s="26" t="n">
        <v>57008578</v>
      </c>
      <c r="C559" s="27" t="inlineStr">
        <is>
          <t>DJIUSD</t>
        </is>
      </c>
      <c r="D559" s="27" t="inlineStr">
        <is>
          <t>buy</t>
        </is>
      </c>
      <c r="E559" s="27" t="inlineStr">
        <is>
          <t>M5</t>
        </is>
      </c>
      <c r="F559" s="27" t="inlineStr">
        <is>
          <t>open</t>
        </is>
      </c>
      <c r="G559" s="27" t="inlineStr">
        <is>
          <t>Loss</t>
        </is>
      </c>
      <c r="H559" s="65" t="inlineStr">
        <is>
          <t>40_57008578_DJIUSD_buy_M5_open_2026-08-03-140256.png</t>
        </is>
      </c>
      <c r="I559" s="23" t="inlineStr">
        <is>
          <t>3214929/DJIUSD/2026-08-03_57008578_DJIUSD_buy_loss</t>
        </is>
      </c>
    </row>
    <row r="560">
      <c r="A560" s="24" t="n">
        <v>62</v>
      </c>
      <c r="B560" s="26" t="n">
        <v>57008578</v>
      </c>
      <c r="C560" s="27" t="inlineStr">
        <is>
          <t>DJIUSD</t>
        </is>
      </c>
      <c r="D560" s="27" t="inlineStr">
        <is>
          <t>buy</t>
        </is>
      </c>
      <c r="E560" s="27" t="inlineStr">
        <is>
          <t>M1</t>
        </is>
      </c>
      <c r="F560" s="27" t="inlineStr">
        <is>
          <t>close</t>
        </is>
      </c>
      <c r="G560" s="27" t="inlineStr">
        <is>
          <t>Loss</t>
        </is>
      </c>
      <c r="H560" s="65" t="inlineStr">
        <is>
          <t>50_57008578_DJIUSD_buy_M1_close_2026-08-03-140409.png</t>
        </is>
      </c>
      <c r="I560" s="23" t="inlineStr">
        <is>
          <t>3214929/DJIUSD/2026-08-03_57008578_DJIUSD_buy_loss</t>
        </is>
      </c>
    </row>
    <row r="561">
      <c r="A561" s="24" t="n">
        <v>62</v>
      </c>
      <c r="B561" s="26" t="n">
        <v>57008578</v>
      </c>
      <c r="C561" s="27" t="inlineStr">
        <is>
          <t>DJIUSD</t>
        </is>
      </c>
      <c r="D561" s="27" t="inlineStr">
        <is>
          <t>buy</t>
        </is>
      </c>
      <c r="E561" s="27" t="inlineStr">
        <is>
          <t>M1</t>
        </is>
      </c>
      <c r="F561" s="27" t="inlineStr">
        <is>
          <t>journey</t>
        </is>
      </c>
      <c r="G561" s="27" t="inlineStr">
        <is>
          <t>Loss</t>
        </is>
      </c>
      <c r="H561" s="65" t="inlineStr">
        <is>
          <t>50_57008578_DJIUSD_buy_M1_journey_2026-08-03-140256.png</t>
        </is>
      </c>
      <c r="I561" s="23" t="inlineStr">
        <is>
          <t>3214929/DJIUSD/2026-08-03_57008578_DJIUSD_buy_loss</t>
        </is>
      </c>
    </row>
    <row r="562">
      <c r="A562" s="24" t="n">
        <v>62</v>
      </c>
      <c r="B562" s="26" t="n">
        <v>57008578</v>
      </c>
      <c r="C562" s="27" t="inlineStr">
        <is>
          <t>DJIUSD</t>
        </is>
      </c>
      <c r="D562" s="27" t="inlineStr">
        <is>
          <t>buy</t>
        </is>
      </c>
      <c r="E562" s="27" t="inlineStr">
        <is>
          <t>M1</t>
        </is>
      </c>
      <c r="F562" s="27" t="inlineStr">
        <is>
          <t>open</t>
        </is>
      </c>
      <c r="G562" s="27" t="inlineStr">
        <is>
          <t>Loss</t>
        </is>
      </c>
      <c r="H562" s="65" t="inlineStr">
        <is>
          <t>50_57008578_DJIUSD_buy_M1_open_2026-08-03-140256.png</t>
        </is>
      </c>
      <c r="I562" s="23" t="inlineStr">
        <is>
          <t>3214929/DJIUSD/2026-08-03_57008578_DJIUSD_buy_loss</t>
        </is>
      </c>
    </row>
    <row r="563">
      <c r="A563" s="24" t="n">
        <v>63</v>
      </c>
      <c r="B563" s="26" t="n">
        <v>57019000</v>
      </c>
      <c r="C563" s="27" t="inlineStr">
        <is>
          <t>DJIUSD</t>
        </is>
      </c>
      <c r="D563" s="27" t="inlineStr">
        <is>
          <t>buy</t>
        </is>
      </c>
      <c r="E563" s="27" t="inlineStr">
        <is>
          <t>H4</t>
        </is>
      </c>
      <c r="F563" s="27" t="inlineStr">
        <is>
          <t>close</t>
        </is>
      </c>
      <c r="G563" s="27" t="inlineStr">
        <is>
          <t>Loss</t>
        </is>
      </c>
      <c r="H563" s="65" t="inlineStr">
        <is>
          <t>10_57019000_DJIUSD_buy_H4_close_2026-08-03-142013.png</t>
        </is>
      </c>
      <c r="I563" s="23" t="inlineStr">
        <is>
          <t>3214929/DJIUSD/2026-08-03_57019000_DJIUSD_buy_loss</t>
        </is>
      </c>
    </row>
    <row r="564">
      <c r="A564" s="24" t="n">
        <v>63</v>
      </c>
      <c r="B564" s="26" t="n">
        <v>57019000</v>
      </c>
      <c r="C564" s="27" t="inlineStr">
        <is>
          <t>DJIUSD</t>
        </is>
      </c>
      <c r="D564" s="27" t="inlineStr">
        <is>
          <t>buy</t>
        </is>
      </c>
      <c r="E564" s="27" t="inlineStr">
        <is>
          <t>H1</t>
        </is>
      </c>
      <c r="F564" s="27" t="inlineStr">
        <is>
          <t>close</t>
        </is>
      </c>
      <c r="G564" s="27" t="inlineStr">
        <is>
          <t>Loss</t>
        </is>
      </c>
      <c r="H564" s="65" t="inlineStr">
        <is>
          <t>20_57019000_DJIUSD_buy_H1_close_2026-08-03-142013.png</t>
        </is>
      </c>
      <c r="I564" s="23" t="inlineStr">
        <is>
          <t>3214929/DJIUSD/2026-08-03_57019000_DJIUSD_buy_loss</t>
        </is>
      </c>
    </row>
    <row r="565">
      <c r="A565" s="24" t="n">
        <v>63</v>
      </c>
      <c r="B565" s="26" t="n">
        <v>57019000</v>
      </c>
      <c r="C565" s="27" t="inlineStr">
        <is>
          <t>DJIUSD</t>
        </is>
      </c>
      <c r="D565" s="27" t="inlineStr">
        <is>
          <t>buy</t>
        </is>
      </c>
      <c r="E565" s="27" t="inlineStr">
        <is>
          <t>M15</t>
        </is>
      </c>
      <c r="F565" s="27" t="inlineStr">
        <is>
          <t>close</t>
        </is>
      </c>
      <c r="G565" s="27" t="inlineStr">
        <is>
          <t>Loss</t>
        </is>
      </c>
      <c r="H565" s="65" t="inlineStr">
        <is>
          <t>30_57019000_DJIUSD_buy_M15_close_2026-08-03-142013.png</t>
        </is>
      </c>
      <c r="I565" s="23" t="inlineStr">
        <is>
          <t>3214929/DJIUSD/2026-08-03_57019000_DJIUSD_buy_loss</t>
        </is>
      </c>
    </row>
    <row r="566">
      <c r="A566" s="24" t="n">
        <v>63</v>
      </c>
      <c r="B566" s="26" t="n">
        <v>57019000</v>
      </c>
      <c r="C566" s="27" t="inlineStr">
        <is>
          <t>DJIUSD</t>
        </is>
      </c>
      <c r="D566" s="27" t="inlineStr">
        <is>
          <t>buy</t>
        </is>
      </c>
      <c r="E566" s="27" t="inlineStr">
        <is>
          <t>M15</t>
        </is>
      </c>
      <c r="F566" s="27" t="inlineStr">
        <is>
          <t>open</t>
        </is>
      </c>
      <c r="G566" s="27" t="inlineStr">
        <is>
          <t>Loss</t>
        </is>
      </c>
      <c r="H566" s="65" t="inlineStr">
        <is>
          <t>30_57019000_DJIUSD_buy_M15_open_2026-08-03-141436.png</t>
        </is>
      </c>
      <c r="I566" s="23" t="inlineStr">
        <is>
          <t>3214929/DJIUSD/2026-08-03_57019000_DJIUSD_buy_loss</t>
        </is>
      </c>
    </row>
    <row r="567">
      <c r="A567" s="24" t="n">
        <v>63</v>
      </c>
      <c r="B567" s="26" t="n">
        <v>57019000</v>
      </c>
      <c r="C567" s="27" t="inlineStr">
        <is>
          <t>DJIUSD</t>
        </is>
      </c>
      <c r="D567" s="27" t="inlineStr">
        <is>
          <t>buy</t>
        </is>
      </c>
      <c r="E567" s="27" t="inlineStr">
        <is>
          <t>M5</t>
        </is>
      </c>
      <c r="F567" s="27" t="inlineStr">
        <is>
          <t>close</t>
        </is>
      </c>
      <c r="G567" s="27" t="inlineStr">
        <is>
          <t>Loss</t>
        </is>
      </c>
      <c r="H567" s="65" t="inlineStr">
        <is>
          <t>40_57019000_DJIUSD_buy_M5_close_2026-08-03-142013.png</t>
        </is>
      </c>
      <c r="I567" s="23" t="inlineStr">
        <is>
          <t>3214929/DJIUSD/2026-08-03_57019000_DJIUSD_buy_loss</t>
        </is>
      </c>
    </row>
    <row r="568">
      <c r="A568" s="24" t="n">
        <v>63</v>
      </c>
      <c r="B568" s="26" t="n">
        <v>57019000</v>
      </c>
      <c r="C568" s="27" t="inlineStr">
        <is>
          <t>DJIUSD</t>
        </is>
      </c>
      <c r="D568" s="27" t="inlineStr">
        <is>
          <t>buy</t>
        </is>
      </c>
      <c r="E568" s="27" t="inlineStr">
        <is>
          <t>M5</t>
        </is>
      </c>
      <c r="F568" s="27" t="inlineStr">
        <is>
          <t>open</t>
        </is>
      </c>
      <c r="G568" s="27" t="inlineStr">
        <is>
          <t>Loss</t>
        </is>
      </c>
      <c r="H568" s="65" t="inlineStr">
        <is>
          <t>40_57019000_DJIUSD_buy_M5_open_2026-08-03-141436.png</t>
        </is>
      </c>
      <c r="I568" s="23" t="inlineStr">
        <is>
          <t>3214929/DJIUSD/2026-08-03_57019000_DJIUSD_buy_loss</t>
        </is>
      </c>
    </row>
    <row r="569">
      <c r="A569" s="24" t="n">
        <v>63</v>
      </c>
      <c r="B569" s="26" t="n">
        <v>57019000</v>
      </c>
      <c r="C569" s="27" t="inlineStr">
        <is>
          <t>DJIUSD</t>
        </is>
      </c>
      <c r="D569" s="27" t="inlineStr">
        <is>
          <t>buy</t>
        </is>
      </c>
      <c r="E569" s="27" t="inlineStr">
        <is>
          <t>M1</t>
        </is>
      </c>
      <c r="F569" s="27" t="inlineStr">
        <is>
          <t>close</t>
        </is>
      </c>
      <c r="G569" s="27" t="inlineStr">
        <is>
          <t>Loss</t>
        </is>
      </c>
      <c r="H569" s="65" t="inlineStr">
        <is>
          <t>50_57019000_DJIUSD_buy_M1_close_2026-08-03-142013.png</t>
        </is>
      </c>
      <c r="I569" s="23" t="inlineStr">
        <is>
          <t>3214929/DJIUSD/2026-08-03_57019000_DJIUSD_buy_loss</t>
        </is>
      </c>
    </row>
    <row r="570">
      <c r="A570" s="24" t="n">
        <v>63</v>
      </c>
      <c r="B570" s="26" t="n">
        <v>57019000</v>
      </c>
      <c r="C570" s="27" t="inlineStr">
        <is>
          <t>DJIUSD</t>
        </is>
      </c>
      <c r="D570" s="27" t="inlineStr">
        <is>
          <t>buy</t>
        </is>
      </c>
      <c r="E570" s="27" t="inlineStr">
        <is>
          <t>M1</t>
        </is>
      </c>
      <c r="F570" s="27" t="inlineStr">
        <is>
          <t>journey</t>
        </is>
      </c>
      <c r="G570" s="27" t="inlineStr">
        <is>
          <t>Loss</t>
        </is>
      </c>
      <c r="H570" s="65" t="inlineStr">
        <is>
          <t>50_57019000_DJIUSD_buy_M1_journey_2026-08-03-141436.png</t>
        </is>
      </c>
      <c r="I570" s="23" t="inlineStr">
        <is>
          <t>3214929/DJIUSD/2026-08-03_57019000_DJIUSD_buy_loss</t>
        </is>
      </c>
    </row>
    <row r="571">
      <c r="A571" s="24" t="n">
        <v>63</v>
      </c>
      <c r="B571" s="26" t="n">
        <v>57019000</v>
      </c>
      <c r="C571" s="27" t="inlineStr">
        <is>
          <t>DJIUSD</t>
        </is>
      </c>
      <c r="D571" s="27" t="inlineStr">
        <is>
          <t>buy</t>
        </is>
      </c>
      <c r="E571" s="27" t="inlineStr">
        <is>
          <t>M1</t>
        </is>
      </c>
      <c r="F571" s="27" t="inlineStr">
        <is>
          <t>open</t>
        </is>
      </c>
      <c r="G571" s="27" t="inlineStr">
        <is>
          <t>Loss</t>
        </is>
      </c>
      <c r="H571" s="65" t="inlineStr">
        <is>
          <t>50_57019000_DJIUSD_buy_M1_open_2026-08-03-141436.png</t>
        </is>
      </c>
      <c r="I571" s="23" t="inlineStr">
        <is>
          <t>3214929/DJIUSD/2026-08-03_57019000_DJIUSD_buy_loss</t>
        </is>
      </c>
    </row>
    <row r="572">
      <c r="A572" s="24" t="n">
        <v>64</v>
      </c>
      <c r="B572" s="26" t="n">
        <v>57028737</v>
      </c>
      <c r="C572" s="27" t="inlineStr">
        <is>
          <t>XAUUSD</t>
        </is>
      </c>
      <c r="D572" s="27" t="inlineStr">
        <is>
          <t>buy</t>
        </is>
      </c>
      <c r="E572" s="27" t="inlineStr">
        <is>
          <t>H4</t>
        </is>
      </c>
      <c r="F572" s="27" t="inlineStr">
        <is>
          <t>close</t>
        </is>
      </c>
      <c r="G572" s="27" t="inlineStr">
        <is>
          <t>Loss</t>
        </is>
      </c>
      <c r="H572" s="65" t="inlineStr">
        <is>
          <t>10_57028737_XAUUSD_buy_H4_close_2026-08-03-150613.png</t>
        </is>
      </c>
      <c r="I572" s="23" t="inlineStr">
        <is>
          <t>3214929/XAUUSD/2026-08-03_57028737_XAUUSD_buy_loss</t>
        </is>
      </c>
    </row>
    <row r="573">
      <c r="A573" s="24" t="n">
        <v>64</v>
      </c>
      <c r="B573" s="26" t="n">
        <v>57028737</v>
      </c>
      <c r="C573" s="27" t="inlineStr">
        <is>
          <t>XAUUSD</t>
        </is>
      </c>
      <c r="D573" s="27" t="inlineStr">
        <is>
          <t>buy</t>
        </is>
      </c>
      <c r="E573" s="27" t="inlineStr">
        <is>
          <t>H1</t>
        </is>
      </c>
      <c r="F573" s="27" t="inlineStr">
        <is>
          <t>close</t>
        </is>
      </c>
      <c r="G573" s="27" t="inlineStr">
        <is>
          <t>Loss</t>
        </is>
      </c>
      <c r="H573" s="65" t="inlineStr">
        <is>
          <t>20_57028737_XAUUSD_buy_H1_close_2026-08-03-150613.png</t>
        </is>
      </c>
      <c r="I573" s="23" t="inlineStr">
        <is>
          <t>3214929/XAUUSD/2026-08-03_57028737_XAUUSD_buy_loss</t>
        </is>
      </c>
    </row>
    <row r="574">
      <c r="A574" s="24" t="n">
        <v>64</v>
      </c>
      <c r="B574" s="26" t="n">
        <v>57028737</v>
      </c>
      <c r="C574" s="27" t="inlineStr">
        <is>
          <t>XAUUSD</t>
        </is>
      </c>
      <c r="D574" s="27" t="inlineStr">
        <is>
          <t>buy</t>
        </is>
      </c>
      <c r="E574" s="27" t="inlineStr">
        <is>
          <t>M15</t>
        </is>
      </c>
      <c r="F574" s="27" t="inlineStr">
        <is>
          <t>close</t>
        </is>
      </c>
      <c r="G574" s="27" t="inlineStr">
        <is>
          <t>Loss</t>
        </is>
      </c>
      <c r="H574" s="65" t="inlineStr">
        <is>
          <t>30_57028737_XAUUSD_buy_M15_close_2026-08-03-150613.png</t>
        </is>
      </c>
      <c r="I574" s="23" t="inlineStr">
        <is>
          <t>3214929/XAUUSD/2026-08-03_57028737_XAUUSD_buy_loss</t>
        </is>
      </c>
    </row>
    <row r="575">
      <c r="A575" s="24" t="n">
        <v>64</v>
      </c>
      <c r="B575" s="26" t="n">
        <v>57028737</v>
      </c>
      <c r="C575" s="27" t="inlineStr">
        <is>
          <t>XAUUSD</t>
        </is>
      </c>
      <c r="D575" s="27" t="inlineStr">
        <is>
          <t>buy</t>
        </is>
      </c>
      <c r="E575" s="27" t="inlineStr">
        <is>
          <t>M15</t>
        </is>
      </c>
      <c r="F575" s="27" t="inlineStr">
        <is>
          <t>open</t>
        </is>
      </c>
      <c r="G575" s="27" t="inlineStr">
        <is>
          <t>Loss</t>
        </is>
      </c>
      <c r="H575" s="65" t="inlineStr">
        <is>
          <t>30_57028737_XAUUSD_buy_M15_open_2026-08-03-142827.png</t>
        </is>
      </c>
      <c r="I575" s="23" t="inlineStr">
        <is>
          <t>3214929/XAUUSD/2026-08-03_57028737_XAUUSD_buy_loss</t>
        </is>
      </c>
    </row>
    <row r="576">
      <c r="A576" s="24" t="n">
        <v>64</v>
      </c>
      <c r="B576" s="26" t="n">
        <v>57028737</v>
      </c>
      <c r="C576" s="27" t="inlineStr">
        <is>
          <t>XAUUSD</t>
        </is>
      </c>
      <c r="D576" s="27" t="inlineStr">
        <is>
          <t>buy</t>
        </is>
      </c>
      <c r="E576" s="27" t="inlineStr">
        <is>
          <t>M5</t>
        </is>
      </c>
      <c r="F576" s="27" t="inlineStr">
        <is>
          <t>close</t>
        </is>
      </c>
      <c r="G576" s="27" t="inlineStr">
        <is>
          <t>Loss</t>
        </is>
      </c>
      <c r="H576" s="65" t="inlineStr">
        <is>
          <t>40_57028737_XAUUSD_buy_M5_close_2026-08-03-150613.png</t>
        </is>
      </c>
      <c r="I576" s="23" t="inlineStr">
        <is>
          <t>3214929/XAUUSD/2026-08-03_57028737_XAUUSD_buy_loss</t>
        </is>
      </c>
    </row>
    <row r="577">
      <c r="A577" s="24" t="n">
        <v>64</v>
      </c>
      <c r="B577" s="26" t="n">
        <v>57028737</v>
      </c>
      <c r="C577" s="27" t="inlineStr">
        <is>
          <t>XAUUSD</t>
        </is>
      </c>
      <c r="D577" s="27" t="inlineStr">
        <is>
          <t>buy</t>
        </is>
      </c>
      <c r="E577" s="27" t="inlineStr">
        <is>
          <t>M5</t>
        </is>
      </c>
      <c r="F577" s="27" t="inlineStr">
        <is>
          <t>open</t>
        </is>
      </c>
      <c r="G577" s="27" t="inlineStr">
        <is>
          <t>Loss</t>
        </is>
      </c>
      <c r="H577" s="65" t="inlineStr">
        <is>
          <t>40_57028737_XAUUSD_buy_M5_open_2026-08-03-142827.png</t>
        </is>
      </c>
      <c r="I577" s="23" t="inlineStr">
        <is>
          <t>3214929/XAUUSD/2026-08-03_57028737_XAUUSD_buy_loss</t>
        </is>
      </c>
    </row>
    <row r="578">
      <c r="A578" s="24" t="n">
        <v>64</v>
      </c>
      <c r="B578" s="26" t="n">
        <v>57028737</v>
      </c>
      <c r="C578" s="27" t="inlineStr">
        <is>
          <t>XAUUSD</t>
        </is>
      </c>
      <c r="D578" s="27" t="inlineStr">
        <is>
          <t>buy</t>
        </is>
      </c>
      <c r="E578" s="27" t="inlineStr">
        <is>
          <t>M1</t>
        </is>
      </c>
      <c r="F578" s="27" t="inlineStr">
        <is>
          <t>close</t>
        </is>
      </c>
      <c r="G578" s="27" t="inlineStr">
        <is>
          <t>Loss</t>
        </is>
      </c>
      <c r="H578" s="65" t="inlineStr">
        <is>
          <t>50_57028737_XAUUSD_buy_M1_close_2026-08-03-150613.png</t>
        </is>
      </c>
      <c r="I578" s="23" t="inlineStr">
        <is>
          <t>3214929/XAUUSD/2026-08-03_57028737_XAUUSD_buy_loss</t>
        </is>
      </c>
    </row>
    <row r="579">
      <c r="A579" s="24" t="n">
        <v>64</v>
      </c>
      <c r="B579" s="26" t="n">
        <v>57028737</v>
      </c>
      <c r="C579" s="27" t="inlineStr">
        <is>
          <t>XAUUSD</t>
        </is>
      </c>
      <c r="D579" s="27" t="inlineStr">
        <is>
          <t>buy</t>
        </is>
      </c>
      <c r="E579" s="27" t="inlineStr">
        <is>
          <t>M1</t>
        </is>
      </c>
      <c r="F579" s="27" t="inlineStr">
        <is>
          <t>journey</t>
        </is>
      </c>
      <c r="G579" s="27" t="inlineStr">
        <is>
          <t>Loss</t>
        </is>
      </c>
      <c r="H579" s="65" t="inlineStr">
        <is>
          <t>50_57028737_XAUUSD_buy_M1_journey_2026-08-03-142827.png</t>
        </is>
      </c>
      <c r="I579" s="23" t="inlineStr">
        <is>
          <t>3214929/XAUUSD/2026-08-03_57028737_XAUUSD_buy_loss</t>
        </is>
      </c>
    </row>
    <row r="580">
      <c r="A580" s="24" t="n">
        <v>64</v>
      </c>
      <c r="B580" s="26" t="n">
        <v>57028737</v>
      </c>
      <c r="C580" s="27" t="inlineStr">
        <is>
          <t>XAUUSD</t>
        </is>
      </c>
      <c r="D580" s="27" t="inlineStr">
        <is>
          <t>buy</t>
        </is>
      </c>
      <c r="E580" s="27" t="inlineStr">
        <is>
          <t>M1</t>
        </is>
      </c>
      <c r="F580" s="27" t="inlineStr">
        <is>
          <t>open</t>
        </is>
      </c>
      <c r="G580" s="27" t="inlineStr">
        <is>
          <t>Loss</t>
        </is>
      </c>
      <c r="H580" s="65" t="inlineStr">
        <is>
          <t>50_57028737_XAUUSD_buy_M1_open_2026-08-03-142827.png</t>
        </is>
      </c>
      <c r="I580" s="23" t="inlineStr">
        <is>
          <t>3214929/XAUUSD/2026-08-03_57028737_XAUUSD_buy_loss</t>
        </is>
      </c>
    </row>
    <row r="581">
      <c r="A581" s="24" t="n">
        <v>65</v>
      </c>
      <c r="B581" s="26" t="n">
        <v>57056264</v>
      </c>
      <c r="C581" s="27" t="inlineStr">
        <is>
          <t>DAXEUR</t>
        </is>
      </c>
      <c r="D581" s="27" t="inlineStr">
        <is>
          <t>buy</t>
        </is>
      </c>
      <c r="E581" s="27" t="inlineStr">
        <is>
          <t>H4</t>
        </is>
      </c>
      <c r="F581" s="27" t="inlineStr">
        <is>
          <t>close</t>
        </is>
      </c>
      <c r="G581" s="27" t="inlineStr">
        <is>
          <t>Loss</t>
        </is>
      </c>
      <c r="H581" s="65" t="inlineStr">
        <is>
          <t>10_57056264_DAXEUR_buy_H4_close_2026-08-03-152000.png</t>
        </is>
      </c>
      <c r="I581" s="23" t="inlineStr">
        <is>
          <t>3214929/DAXEUR/2026-08-03_57056264_DAXEUR_buy_loss</t>
        </is>
      </c>
    </row>
    <row r="582">
      <c r="A582" s="24" t="n">
        <v>65</v>
      </c>
      <c r="B582" s="26" t="n">
        <v>57056264</v>
      </c>
      <c r="C582" s="27" t="inlineStr">
        <is>
          <t>DAXEUR</t>
        </is>
      </c>
      <c r="D582" s="27" t="inlineStr">
        <is>
          <t>buy</t>
        </is>
      </c>
      <c r="E582" s="27" t="inlineStr">
        <is>
          <t>H1</t>
        </is>
      </c>
      <c r="F582" s="27" t="inlineStr">
        <is>
          <t>close</t>
        </is>
      </c>
      <c r="G582" s="27" t="inlineStr">
        <is>
          <t>Loss</t>
        </is>
      </c>
      <c r="H582" s="65" t="inlineStr">
        <is>
          <t>20_57056264_DAXEUR_buy_H1_close_2026-08-03-152000.png</t>
        </is>
      </c>
      <c r="I582" s="23" t="inlineStr">
        <is>
          <t>3214929/DAXEUR/2026-08-03_57056264_DAXEUR_buy_loss</t>
        </is>
      </c>
    </row>
    <row r="583">
      <c r="A583" s="24" t="n">
        <v>65</v>
      </c>
      <c r="B583" s="26" t="n">
        <v>57056264</v>
      </c>
      <c r="C583" s="27" t="inlineStr">
        <is>
          <t>DAXEUR</t>
        </is>
      </c>
      <c r="D583" s="27" t="inlineStr">
        <is>
          <t>buy</t>
        </is>
      </c>
      <c r="E583" s="27" t="inlineStr">
        <is>
          <t>M15</t>
        </is>
      </c>
      <c r="F583" s="27" t="inlineStr">
        <is>
          <t>close</t>
        </is>
      </c>
      <c r="G583" s="27" t="inlineStr">
        <is>
          <t>Loss</t>
        </is>
      </c>
      <c r="H583" s="65" t="inlineStr">
        <is>
          <t>30_57056264_DAXEUR_buy_M15_close_2026-08-03-152000.png</t>
        </is>
      </c>
      <c r="I583" s="23" t="inlineStr">
        <is>
          <t>3214929/DAXEUR/2026-08-03_57056264_DAXEUR_buy_loss</t>
        </is>
      </c>
    </row>
    <row r="584">
      <c r="A584" s="24" t="n">
        <v>65</v>
      </c>
      <c r="B584" s="26" t="n">
        <v>57056264</v>
      </c>
      <c r="C584" s="27" t="inlineStr">
        <is>
          <t>DAXEUR</t>
        </is>
      </c>
      <c r="D584" s="27" t="inlineStr">
        <is>
          <t>buy</t>
        </is>
      </c>
      <c r="E584" s="27" t="inlineStr">
        <is>
          <t>M15</t>
        </is>
      </c>
      <c r="F584" s="27" t="inlineStr">
        <is>
          <t>open</t>
        </is>
      </c>
      <c r="G584" s="27" t="inlineStr">
        <is>
          <t>Loss</t>
        </is>
      </c>
      <c r="H584" s="65" t="inlineStr">
        <is>
          <t>30_57056264_DAXEUR_buy_M15_open_2026-08-03-151647.png</t>
        </is>
      </c>
      <c r="I584" s="23" t="inlineStr">
        <is>
          <t>3214929/DAXEUR/2026-08-03_57056264_DAXEUR_buy_loss</t>
        </is>
      </c>
    </row>
    <row r="585">
      <c r="A585" s="24" t="n">
        <v>65</v>
      </c>
      <c r="B585" s="26" t="n">
        <v>57056264</v>
      </c>
      <c r="C585" s="27" t="inlineStr">
        <is>
          <t>DAXEUR</t>
        </is>
      </c>
      <c r="D585" s="27" t="inlineStr">
        <is>
          <t>buy</t>
        </is>
      </c>
      <c r="E585" s="27" t="inlineStr">
        <is>
          <t>M5</t>
        </is>
      </c>
      <c r="F585" s="27" t="inlineStr">
        <is>
          <t>close</t>
        </is>
      </c>
      <c r="G585" s="27" t="inlineStr">
        <is>
          <t>Loss</t>
        </is>
      </c>
      <c r="H585" s="65" t="inlineStr">
        <is>
          <t>40_57056264_DAXEUR_buy_M5_close_2026-08-03-152000.png</t>
        </is>
      </c>
      <c r="I585" s="23" t="inlineStr">
        <is>
          <t>3214929/DAXEUR/2026-08-03_57056264_DAXEUR_buy_loss</t>
        </is>
      </c>
    </row>
    <row r="586">
      <c r="A586" s="24" t="n">
        <v>65</v>
      </c>
      <c r="B586" s="26" t="n">
        <v>57056264</v>
      </c>
      <c r="C586" s="27" t="inlineStr">
        <is>
          <t>DAXEUR</t>
        </is>
      </c>
      <c r="D586" s="27" t="inlineStr">
        <is>
          <t>buy</t>
        </is>
      </c>
      <c r="E586" s="27" t="inlineStr">
        <is>
          <t>M5</t>
        </is>
      </c>
      <c r="F586" s="27" t="inlineStr">
        <is>
          <t>open</t>
        </is>
      </c>
      <c r="G586" s="27" t="inlineStr">
        <is>
          <t>Loss</t>
        </is>
      </c>
      <c r="H586" s="65" t="inlineStr">
        <is>
          <t>40_57056264_DAXEUR_buy_M5_open_2026-08-03-151647.png</t>
        </is>
      </c>
      <c r="I586" s="23" t="inlineStr">
        <is>
          <t>3214929/DAXEUR/2026-08-03_57056264_DAXEUR_buy_loss</t>
        </is>
      </c>
    </row>
    <row r="587">
      <c r="A587" s="24" t="n">
        <v>65</v>
      </c>
      <c r="B587" s="26" t="n">
        <v>57056264</v>
      </c>
      <c r="C587" s="27" t="inlineStr">
        <is>
          <t>DAXEUR</t>
        </is>
      </c>
      <c r="D587" s="27" t="inlineStr">
        <is>
          <t>buy</t>
        </is>
      </c>
      <c r="E587" s="27" t="inlineStr">
        <is>
          <t>M1</t>
        </is>
      </c>
      <c r="F587" s="27" t="inlineStr">
        <is>
          <t>close</t>
        </is>
      </c>
      <c r="G587" s="27" t="inlineStr">
        <is>
          <t>Loss</t>
        </is>
      </c>
      <c r="H587" s="65" t="inlineStr">
        <is>
          <t>50_57056264_DAXEUR_buy_M1_close_2026-08-03-152000.png</t>
        </is>
      </c>
      <c r="I587" s="23" t="inlineStr">
        <is>
          <t>3214929/DAXEUR/2026-08-03_57056264_DAXEUR_buy_loss</t>
        </is>
      </c>
    </row>
    <row r="588">
      <c r="A588" s="24" t="n">
        <v>65</v>
      </c>
      <c r="B588" s="26" t="n">
        <v>57056264</v>
      </c>
      <c r="C588" s="27" t="inlineStr">
        <is>
          <t>DAXEUR</t>
        </is>
      </c>
      <c r="D588" s="27" t="inlineStr">
        <is>
          <t>buy</t>
        </is>
      </c>
      <c r="E588" s="27" t="inlineStr">
        <is>
          <t>M1</t>
        </is>
      </c>
      <c r="F588" s="27" t="inlineStr">
        <is>
          <t>journey</t>
        </is>
      </c>
      <c r="G588" s="27" t="inlineStr">
        <is>
          <t>Loss</t>
        </is>
      </c>
      <c r="H588" s="65" t="inlineStr">
        <is>
          <t>50_57056264_DAXEUR_buy_M1_journey_2026-08-03-151647.png</t>
        </is>
      </c>
      <c r="I588" s="23" t="inlineStr">
        <is>
          <t>3214929/DAXEUR/2026-08-03_57056264_DAXEUR_buy_loss</t>
        </is>
      </c>
    </row>
    <row r="589">
      <c r="A589" s="24" t="n">
        <v>65</v>
      </c>
      <c r="B589" s="26" t="n">
        <v>57056264</v>
      </c>
      <c r="C589" s="27" t="inlineStr">
        <is>
          <t>DAXEUR</t>
        </is>
      </c>
      <c r="D589" s="27" t="inlineStr">
        <is>
          <t>buy</t>
        </is>
      </c>
      <c r="E589" s="27" t="inlineStr">
        <is>
          <t>M1</t>
        </is>
      </c>
      <c r="F589" s="27" t="inlineStr">
        <is>
          <t>open</t>
        </is>
      </c>
      <c r="G589" s="27" t="inlineStr">
        <is>
          <t>Loss</t>
        </is>
      </c>
      <c r="H589" s="65" t="inlineStr">
        <is>
          <t>50_57056264_DAXEUR_buy_M1_open_2026-08-03-151647.png</t>
        </is>
      </c>
      <c r="I589" s="23" t="inlineStr">
        <is>
          <t>3214929/DAXEUR/2026-08-03_57056264_DAXEUR_buy_loss</t>
        </is>
      </c>
    </row>
    <row r="590">
      <c r="A590" s="24" t="n">
        <v>66</v>
      </c>
      <c r="B590" s="26" t="n">
        <v>57056600</v>
      </c>
      <c r="C590" s="27" t="inlineStr">
        <is>
          <t>DAXEUR</t>
        </is>
      </c>
      <c r="D590" s="27" t="inlineStr">
        <is>
          <t>buy</t>
        </is>
      </c>
      <c r="E590" s="27" t="inlineStr">
        <is>
          <t>H4</t>
        </is>
      </c>
      <c r="F590" s="27" t="inlineStr">
        <is>
          <t>close</t>
        </is>
      </c>
      <c r="G590" s="27" t="inlineStr">
        <is>
          <t>Win</t>
        </is>
      </c>
      <c r="H590" s="65" t="inlineStr">
        <is>
          <t>10_57056600_DAXEUR_buy_H4_close_2026-08-03-152646.png</t>
        </is>
      </c>
      <c r="I590" s="23" t="inlineStr">
        <is>
          <t>3214929/DAXEUR/2026-08-03_57056600_DAXEUR_buy_win</t>
        </is>
      </c>
    </row>
    <row r="591">
      <c r="A591" s="24" t="n">
        <v>66</v>
      </c>
      <c r="B591" s="26" t="n">
        <v>57056600</v>
      </c>
      <c r="C591" s="27" t="inlineStr">
        <is>
          <t>DAXEUR</t>
        </is>
      </c>
      <c r="D591" s="27" t="inlineStr">
        <is>
          <t>buy</t>
        </is>
      </c>
      <c r="E591" s="27" t="inlineStr">
        <is>
          <t>H1</t>
        </is>
      </c>
      <c r="F591" s="27" t="inlineStr">
        <is>
          <t>close</t>
        </is>
      </c>
      <c r="G591" s="27" t="inlineStr">
        <is>
          <t>Win</t>
        </is>
      </c>
      <c r="H591" s="65" t="inlineStr">
        <is>
          <t>20_57056600_DAXEUR_buy_H1_close_2026-08-03-152646.png</t>
        </is>
      </c>
      <c r="I591" s="23" t="inlineStr">
        <is>
          <t>3214929/DAXEUR/2026-08-03_57056600_DAXEUR_buy_win</t>
        </is>
      </c>
    </row>
    <row r="592">
      <c r="A592" s="24" t="n">
        <v>66</v>
      </c>
      <c r="B592" s="26" t="n">
        <v>57056600</v>
      </c>
      <c r="C592" s="27" t="inlineStr">
        <is>
          <t>DAXEUR</t>
        </is>
      </c>
      <c r="D592" s="27" t="inlineStr">
        <is>
          <t>buy</t>
        </is>
      </c>
      <c r="E592" s="27" t="inlineStr">
        <is>
          <t>M15</t>
        </is>
      </c>
      <c r="F592" s="27" t="inlineStr">
        <is>
          <t>close</t>
        </is>
      </c>
      <c r="G592" s="27" t="inlineStr">
        <is>
          <t>Win</t>
        </is>
      </c>
      <c r="H592" s="65" t="inlineStr">
        <is>
          <t>30_57056600_DAXEUR_buy_M15_close_2026-08-03-152646.png</t>
        </is>
      </c>
      <c r="I592" s="23" t="inlineStr">
        <is>
          <t>3214929/DAXEUR/2026-08-03_57056600_DAXEUR_buy_win</t>
        </is>
      </c>
    </row>
    <row r="593">
      <c r="A593" s="24" t="n">
        <v>66</v>
      </c>
      <c r="B593" s="26" t="n">
        <v>57056600</v>
      </c>
      <c r="C593" s="27" t="inlineStr">
        <is>
          <t>DAXEUR</t>
        </is>
      </c>
      <c r="D593" s="27" t="inlineStr">
        <is>
          <t>buy</t>
        </is>
      </c>
      <c r="E593" s="27" t="inlineStr">
        <is>
          <t>M15</t>
        </is>
      </c>
      <c r="F593" s="27" t="inlineStr">
        <is>
          <t>open</t>
        </is>
      </c>
      <c r="G593" s="27" t="inlineStr">
        <is>
          <t>Win</t>
        </is>
      </c>
      <c r="H593" s="65" t="inlineStr">
        <is>
          <t>30_57056600_DAXEUR_buy_M15_open_2026-08-03-151737.png</t>
        </is>
      </c>
      <c r="I593" s="23" t="inlineStr">
        <is>
          <t>3214929/DAXEUR/2026-08-03_57056600_DAXEUR_buy_win</t>
        </is>
      </c>
    </row>
    <row r="594">
      <c r="A594" s="24" t="n">
        <v>66</v>
      </c>
      <c r="B594" s="26" t="n">
        <v>57056600</v>
      </c>
      <c r="C594" s="27" t="inlineStr">
        <is>
          <t>DAXEUR</t>
        </is>
      </c>
      <c r="D594" s="27" t="inlineStr">
        <is>
          <t>buy</t>
        </is>
      </c>
      <c r="E594" s="27" t="inlineStr">
        <is>
          <t>M5</t>
        </is>
      </c>
      <c r="F594" s="27" t="inlineStr">
        <is>
          <t>close</t>
        </is>
      </c>
      <c r="G594" s="27" t="inlineStr">
        <is>
          <t>Win</t>
        </is>
      </c>
      <c r="H594" s="65" t="inlineStr">
        <is>
          <t>40_57056600_DAXEUR_buy_M5_close_2026-08-03-152646.png</t>
        </is>
      </c>
      <c r="I594" s="23" t="inlineStr">
        <is>
          <t>3214929/DAXEUR/2026-08-03_57056600_DAXEUR_buy_win</t>
        </is>
      </c>
    </row>
    <row r="595">
      <c r="A595" s="24" t="n">
        <v>66</v>
      </c>
      <c r="B595" s="26" t="n">
        <v>57056600</v>
      </c>
      <c r="C595" s="27" t="inlineStr">
        <is>
          <t>DAXEUR</t>
        </is>
      </c>
      <c r="D595" s="27" t="inlineStr">
        <is>
          <t>buy</t>
        </is>
      </c>
      <c r="E595" s="27" t="inlineStr">
        <is>
          <t>M5</t>
        </is>
      </c>
      <c r="F595" s="27" t="inlineStr">
        <is>
          <t>open</t>
        </is>
      </c>
      <c r="G595" s="27" t="inlineStr">
        <is>
          <t>Win</t>
        </is>
      </c>
      <c r="H595" s="65" t="inlineStr">
        <is>
          <t>40_57056600_DAXEUR_buy_M5_open_2026-08-03-151737.png</t>
        </is>
      </c>
      <c r="I595" s="23" t="inlineStr">
        <is>
          <t>3214929/DAXEUR/2026-08-03_57056600_DAXEUR_buy_win</t>
        </is>
      </c>
    </row>
    <row r="596">
      <c r="A596" s="24" t="n">
        <v>66</v>
      </c>
      <c r="B596" s="26" t="n">
        <v>57056600</v>
      </c>
      <c r="C596" s="27" t="inlineStr">
        <is>
          <t>DAXEUR</t>
        </is>
      </c>
      <c r="D596" s="27" t="inlineStr">
        <is>
          <t>buy</t>
        </is>
      </c>
      <c r="E596" s="27" t="inlineStr">
        <is>
          <t>M1</t>
        </is>
      </c>
      <c r="F596" s="27" t="inlineStr">
        <is>
          <t>close</t>
        </is>
      </c>
      <c r="G596" s="27" t="inlineStr">
        <is>
          <t>Win</t>
        </is>
      </c>
      <c r="H596" s="65" t="inlineStr">
        <is>
          <t>50_57056600_DAXEUR_buy_M1_close_2026-08-03-152646.png</t>
        </is>
      </c>
      <c r="I596" s="23" t="inlineStr">
        <is>
          <t>3214929/DAXEUR/2026-08-03_57056600_DAXEUR_buy_win</t>
        </is>
      </c>
    </row>
    <row r="597">
      <c r="A597" s="24" t="n">
        <v>66</v>
      </c>
      <c r="B597" s="26" t="n">
        <v>57056600</v>
      </c>
      <c r="C597" s="27" t="inlineStr">
        <is>
          <t>DAXEUR</t>
        </is>
      </c>
      <c r="D597" s="27" t="inlineStr">
        <is>
          <t>buy</t>
        </is>
      </c>
      <c r="E597" s="27" t="inlineStr">
        <is>
          <t>M1</t>
        </is>
      </c>
      <c r="F597" s="27" t="inlineStr">
        <is>
          <t>journey</t>
        </is>
      </c>
      <c r="G597" s="27" t="inlineStr">
        <is>
          <t>Win</t>
        </is>
      </c>
      <c r="H597" s="65" t="inlineStr">
        <is>
          <t>50_57056600_DAXEUR_buy_M1_journey_2026-08-03-151737.png</t>
        </is>
      </c>
      <c r="I597" s="23" t="inlineStr">
        <is>
          <t>3214929/DAXEUR/2026-08-03_57056600_DAXEUR_buy_win</t>
        </is>
      </c>
    </row>
    <row r="598">
      <c r="A598" s="24" t="n">
        <v>66</v>
      </c>
      <c r="B598" s="26" t="n">
        <v>57056600</v>
      </c>
      <c r="C598" s="27" t="inlineStr">
        <is>
          <t>DAXEUR</t>
        </is>
      </c>
      <c r="D598" s="27" t="inlineStr">
        <is>
          <t>buy</t>
        </is>
      </c>
      <c r="E598" s="27" t="inlineStr">
        <is>
          <t>M1</t>
        </is>
      </c>
      <c r="F598" s="27" t="inlineStr">
        <is>
          <t>open</t>
        </is>
      </c>
      <c r="G598" s="27" t="inlineStr">
        <is>
          <t>Win</t>
        </is>
      </c>
      <c r="H598" s="65" t="inlineStr">
        <is>
          <t>50_57056600_DAXEUR_buy_M1_open_2026-08-03-151737.png</t>
        </is>
      </c>
      <c r="I598" s="23" t="inlineStr">
        <is>
          <t>3214929/DAXEUR/2026-08-03_57056600_DAXEUR_buy_win</t>
        </is>
      </c>
    </row>
    <row r="599">
      <c r="A599" s="24" t="n">
        <v>67</v>
      </c>
      <c r="B599" s="26" t="n">
        <v>57064381</v>
      </c>
      <c r="C599" s="27" t="inlineStr">
        <is>
          <t>DJIUSD</t>
        </is>
      </c>
      <c r="D599" s="27" t="inlineStr">
        <is>
          <t>sell</t>
        </is>
      </c>
      <c r="E599" s="27" t="inlineStr">
        <is>
          <t>H4</t>
        </is>
      </c>
      <c r="F599" s="27" t="inlineStr">
        <is>
          <t>close</t>
        </is>
      </c>
      <c r="G599" s="27" t="inlineStr">
        <is>
          <t>Win</t>
        </is>
      </c>
      <c r="H599" s="65" t="inlineStr">
        <is>
          <t>10_57064381_DJIUSD_sell_H4_close_2026-08-03-155542.png</t>
        </is>
      </c>
      <c r="I599" s="23" t="inlineStr">
        <is>
          <t>3214929/DJIUSD/2026-08-03_57064381_DJIUSD_sell_win</t>
        </is>
      </c>
    </row>
    <row r="600">
      <c r="A600" s="24" t="n">
        <v>67</v>
      </c>
      <c r="B600" s="26" t="n">
        <v>57064381</v>
      </c>
      <c r="C600" s="27" t="inlineStr">
        <is>
          <t>DJIUSD</t>
        </is>
      </c>
      <c r="D600" s="27" t="inlineStr">
        <is>
          <t>sell</t>
        </is>
      </c>
      <c r="E600" s="27" t="inlineStr">
        <is>
          <t>H1</t>
        </is>
      </c>
      <c r="F600" s="27" t="inlineStr">
        <is>
          <t>close</t>
        </is>
      </c>
      <c r="G600" s="27" t="inlineStr">
        <is>
          <t>Win</t>
        </is>
      </c>
      <c r="H600" s="65" t="inlineStr">
        <is>
          <t>20_57064381_DJIUSD_sell_H1_close_2026-08-03-155542.png</t>
        </is>
      </c>
      <c r="I600" s="23" t="inlineStr">
        <is>
          <t>3214929/DJIUSD/2026-08-03_57064381_DJIUSD_sell_win</t>
        </is>
      </c>
    </row>
    <row r="601">
      <c r="A601" s="24" t="n">
        <v>67</v>
      </c>
      <c r="B601" s="26" t="n">
        <v>57064381</v>
      </c>
      <c r="C601" s="27" t="inlineStr">
        <is>
          <t>DJIUSD</t>
        </is>
      </c>
      <c r="D601" s="27" t="inlineStr">
        <is>
          <t>sell</t>
        </is>
      </c>
      <c r="E601" s="27" t="inlineStr">
        <is>
          <t>M15</t>
        </is>
      </c>
      <c r="F601" s="27" t="inlineStr">
        <is>
          <t>close</t>
        </is>
      </c>
      <c r="G601" s="27" t="inlineStr">
        <is>
          <t>Win</t>
        </is>
      </c>
      <c r="H601" s="65" t="inlineStr">
        <is>
          <t>30_57064381_DJIUSD_sell_M15_close_2026-08-03-155542.png</t>
        </is>
      </c>
      <c r="I601" s="23" t="inlineStr">
        <is>
          <t>3214929/DJIUSD/2026-08-03_57064381_DJIUSD_sell_win</t>
        </is>
      </c>
    </row>
    <row r="602">
      <c r="A602" s="24" t="n">
        <v>67</v>
      </c>
      <c r="B602" s="26" t="n">
        <v>57064381</v>
      </c>
      <c r="C602" s="27" t="inlineStr">
        <is>
          <t>DJIUSD</t>
        </is>
      </c>
      <c r="D602" s="27" t="inlineStr">
        <is>
          <t>sell</t>
        </is>
      </c>
      <c r="E602" s="27" t="inlineStr">
        <is>
          <t>M15</t>
        </is>
      </c>
      <c r="F602" s="27" t="inlineStr">
        <is>
          <t>open</t>
        </is>
      </c>
      <c r="G602" s="27" t="inlineStr">
        <is>
          <t>Win</t>
        </is>
      </c>
      <c r="H602" s="65" t="inlineStr">
        <is>
          <t>30_57064381_DJIUSD_sell_M15_open_2026-08-03-154103.png</t>
        </is>
      </c>
      <c r="I602" s="23" t="inlineStr">
        <is>
          <t>3214929/DJIUSD/2026-08-03_57064381_DJIUSD_sell_win</t>
        </is>
      </c>
    </row>
    <row r="603">
      <c r="A603" s="24" t="n">
        <v>67</v>
      </c>
      <c r="B603" s="26" t="n">
        <v>57064381</v>
      </c>
      <c r="C603" s="27" t="inlineStr">
        <is>
          <t>DJIUSD</t>
        </is>
      </c>
      <c r="D603" s="27" t="inlineStr">
        <is>
          <t>sell</t>
        </is>
      </c>
      <c r="E603" s="27" t="inlineStr">
        <is>
          <t>M5</t>
        </is>
      </c>
      <c r="F603" s="27" t="inlineStr">
        <is>
          <t>close</t>
        </is>
      </c>
      <c r="G603" s="27" t="inlineStr">
        <is>
          <t>Win</t>
        </is>
      </c>
      <c r="H603" s="65" t="inlineStr">
        <is>
          <t>40_57064381_DJIUSD_sell_M5_close_2026-08-03-155542.png</t>
        </is>
      </c>
      <c r="I603" s="23" t="inlineStr">
        <is>
          <t>3214929/DJIUSD/2026-08-03_57064381_DJIUSD_sell_win</t>
        </is>
      </c>
    </row>
    <row r="604">
      <c r="A604" s="24" t="n">
        <v>67</v>
      </c>
      <c r="B604" s="26" t="n">
        <v>57064381</v>
      </c>
      <c r="C604" s="27" t="inlineStr">
        <is>
          <t>DJIUSD</t>
        </is>
      </c>
      <c r="D604" s="27" t="inlineStr">
        <is>
          <t>sell</t>
        </is>
      </c>
      <c r="E604" s="27" t="inlineStr">
        <is>
          <t>M5</t>
        </is>
      </c>
      <c r="F604" s="27" t="inlineStr">
        <is>
          <t>open</t>
        </is>
      </c>
      <c r="G604" s="27" t="inlineStr">
        <is>
          <t>Win</t>
        </is>
      </c>
      <c r="H604" s="65" t="inlineStr">
        <is>
          <t>40_57064381_DJIUSD_sell_M5_open_2026-08-03-154103.png</t>
        </is>
      </c>
      <c r="I604" s="23" t="inlineStr">
        <is>
          <t>3214929/DJIUSD/2026-08-03_57064381_DJIUSD_sell_win</t>
        </is>
      </c>
    </row>
    <row r="605">
      <c r="A605" s="24" t="n">
        <v>67</v>
      </c>
      <c r="B605" s="26" t="n">
        <v>57064381</v>
      </c>
      <c r="C605" s="27" t="inlineStr">
        <is>
          <t>DJIUSD</t>
        </is>
      </c>
      <c r="D605" s="27" t="inlineStr">
        <is>
          <t>sell</t>
        </is>
      </c>
      <c r="E605" s="27" t="inlineStr">
        <is>
          <t>M1</t>
        </is>
      </c>
      <c r="F605" s="27" t="inlineStr">
        <is>
          <t>close</t>
        </is>
      </c>
      <c r="G605" s="27" t="inlineStr">
        <is>
          <t>Win</t>
        </is>
      </c>
      <c r="H605" s="65" t="inlineStr">
        <is>
          <t>50_57064381_DJIUSD_sell_M1_close_2026-08-03-155542.png</t>
        </is>
      </c>
      <c r="I605" s="23" t="inlineStr">
        <is>
          <t>3214929/DJIUSD/2026-08-03_57064381_DJIUSD_sell_win</t>
        </is>
      </c>
    </row>
    <row r="606">
      <c r="A606" s="24" t="n">
        <v>67</v>
      </c>
      <c r="B606" s="26" t="n">
        <v>57064381</v>
      </c>
      <c r="C606" s="27" t="inlineStr">
        <is>
          <t>DJIUSD</t>
        </is>
      </c>
      <c r="D606" s="27" t="inlineStr">
        <is>
          <t>sell</t>
        </is>
      </c>
      <c r="E606" s="27" t="inlineStr">
        <is>
          <t>M1</t>
        </is>
      </c>
      <c r="F606" s="27" t="inlineStr">
        <is>
          <t>journey</t>
        </is>
      </c>
      <c r="G606" s="27" t="inlineStr">
        <is>
          <t>Win</t>
        </is>
      </c>
      <c r="H606" s="65" t="inlineStr">
        <is>
          <t>50_57064381_DJIUSD_sell_M1_journey_2026-08-03-154103.png</t>
        </is>
      </c>
      <c r="I606" s="23" t="inlineStr">
        <is>
          <t>3214929/DJIUSD/2026-08-03_57064381_DJIUSD_sell_win</t>
        </is>
      </c>
    </row>
    <row r="607">
      <c r="A607" s="24" t="n">
        <v>67</v>
      </c>
      <c r="B607" s="26" t="n">
        <v>57064381</v>
      </c>
      <c r="C607" s="27" t="inlineStr">
        <is>
          <t>DJIUSD</t>
        </is>
      </c>
      <c r="D607" s="27" t="inlineStr">
        <is>
          <t>sell</t>
        </is>
      </c>
      <c r="E607" s="27" t="inlineStr">
        <is>
          <t>M1</t>
        </is>
      </c>
      <c r="F607" s="27" t="inlineStr">
        <is>
          <t>open</t>
        </is>
      </c>
      <c r="G607" s="27" t="inlineStr">
        <is>
          <t>Win</t>
        </is>
      </c>
      <c r="H607" s="65" t="inlineStr">
        <is>
          <t>50_57064381_DJIUSD_sell_M1_open_2026-08-03-154103.png</t>
        </is>
      </c>
      <c r="I607" s="23" t="inlineStr">
        <is>
          <t>3214929/DJIUSD/2026-08-03_57064381_DJIUSD_sell_win</t>
        </is>
      </c>
    </row>
    <row r="608">
      <c r="A608" s="24" t="n">
        <v>68</v>
      </c>
      <c r="B608" s="26" t="n">
        <v>57062642</v>
      </c>
      <c r="C608" s="27" t="inlineStr">
        <is>
          <t>NDXUSD</t>
        </is>
      </c>
      <c r="D608" s="27" t="inlineStr">
        <is>
          <t>sell</t>
        </is>
      </c>
      <c r="E608" s="27" t="inlineStr">
        <is>
          <t>H4</t>
        </is>
      </c>
      <c r="F608" s="27" t="inlineStr">
        <is>
          <t>close</t>
        </is>
      </c>
      <c r="G608" s="27" t="inlineStr">
        <is>
          <t>Loss</t>
        </is>
      </c>
      <c r="H608" s="65" t="inlineStr">
        <is>
          <t>10_57062642_NDXUSD_sell_H4_close_2026-08-03-161632.png</t>
        </is>
      </c>
      <c r="I608" s="23" t="inlineStr">
        <is>
          <t>3214929/NDXUSD/2026-08-03_57062642_NDXUSD_sell_loss</t>
        </is>
      </c>
    </row>
    <row r="609">
      <c r="A609" s="24" t="n">
        <v>68</v>
      </c>
      <c r="B609" s="26" t="n">
        <v>57062642</v>
      </c>
      <c r="C609" s="27" t="inlineStr">
        <is>
          <t>NDXUSD</t>
        </is>
      </c>
      <c r="D609" s="27" t="inlineStr">
        <is>
          <t>sell</t>
        </is>
      </c>
      <c r="E609" s="27" t="inlineStr">
        <is>
          <t>H1</t>
        </is>
      </c>
      <c r="F609" s="27" t="inlineStr">
        <is>
          <t>close</t>
        </is>
      </c>
      <c r="G609" s="27" t="inlineStr">
        <is>
          <t>Loss</t>
        </is>
      </c>
      <c r="H609" s="65" t="inlineStr">
        <is>
          <t>20_57062642_NDXUSD_sell_H1_close_2026-08-03-161632.png</t>
        </is>
      </c>
      <c r="I609" s="23" t="inlineStr">
        <is>
          <t>3214929/NDXUSD/2026-08-03_57062642_NDXUSD_sell_loss</t>
        </is>
      </c>
    </row>
    <row r="610">
      <c r="A610" s="24" t="n">
        <v>68</v>
      </c>
      <c r="B610" s="26" t="n">
        <v>57062642</v>
      </c>
      <c r="C610" s="27" t="inlineStr">
        <is>
          <t>NDXUSD</t>
        </is>
      </c>
      <c r="D610" s="27" t="inlineStr">
        <is>
          <t>sell</t>
        </is>
      </c>
      <c r="E610" s="27" t="inlineStr">
        <is>
          <t>M15</t>
        </is>
      </c>
      <c r="F610" s="27" t="inlineStr">
        <is>
          <t>close</t>
        </is>
      </c>
      <c r="G610" s="27" t="inlineStr">
        <is>
          <t>Loss</t>
        </is>
      </c>
      <c r="H610" s="65" t="inlineStr">
        <is>
          <t>30_57062642_NDXUSD_sell_M15_close_2026-08-03-161632.png</t>
        </is>
      </c>
      <c r="I610" s="23" t="inlineStr">
        <is>
          <t>3214929/NDXUSD/2026-08-03_57062642_NDXUSD_sell_loss</t>
        </is>
      </c>
    </row>
    <row r="611">
      <c r="A611" s="24" t="n">
        <v>68</v>
      </c>
      <c r="B611" s="26" t="n">
        <v>57062642</v>
      </c>
      <c r="C611" s="27" t="inlineStr">
        <is>
          <t>NDXUSD</t>
        </is>
      </c>
      <c r="D611" s="27" t="inlineStr">
        <is>
          <t>sell</t>
        </is>
      </c>
      <c r="E611" s="27" t="inlineStr">
        <is>
          <t>M15</t>
        </is>
      </c>
      <c r="F611" s="27" t="inlineStr">
        <is>
          <t>open</t>
        </is>
      </c>
      <c r="G611" s="27" t="inlineStr">
        <is>
          <t>Loss</t>
        </is>
      </c>
      <c r="H611" s="65" t="inlineStr">
        <is>
          <t>30_57062642_NDXUSD_sell_M15_open_2026-08-03-153449.png</t>
        </is>
      </c>
      <c r="I611" s="23" t="inlineStr">
        <is>
          <t>3214929/NDXUSD/2026-08-03_57062642_NDXUSD_sell_loss</t>
        </is>
      </c>
    </row>
    <row r="612">
      <c r="A612" s="24" t="n">
        <v>68</v>
      </c>
      <c r="B612" s="26" t="n">
        <v>57062642</v>
      </c>
      <c r="C612" s="27" t="inlineStr">
        <is>
          <t>NDXUSD</t>
        </is>
      </c>
      <c r="D612" s="27" t="inlineStr">
        <is>
          <t>sell</t>
        </is>
      </c>
      <c r="E612" s="27" t="inlineStr">
        <is>
          <t>M5</t>
        </is>
      </c>
      <c r="F612" s="27" t="inlineStr">
        <is>
          <t>close</t>
        </is>
      </c>
      <c r="G612" s="27" t="inlineStr">
        <is>
          <t>Loss</t>
        </is>
      </c>
      <c r="H612" s="65" t="inlineStr">
        <is>
          <t>40_57062642_NDXUSD_sell_M5_close_2026-08-03-161632.png</t>
        </is>
      </c>
      <c r="I612" s="23" t="inlineStr">
        <is>
          <t>3214929/NDXUSD/2026-08-03_57062642_NDXUSD_sell_loss</t>
        </is>
      </c>
    </row>
    <row r="613">
      <c r="A613" s="24" t="n">
        <v>68</v>
      </c>
      <c r="B613" s="26" t="n">
        <v>57062642</v>
      </c>
      <c r="C613" s="27" t="inlineStr">
        <is>
          <t>NDXUSD</t>
        </is>
      </c>
      <c r="D613" s="27" t="inlineStr">
        <is>
          <t>sell</t>
        </is>
      </c>
      <c r="E613" s="27" t="inlineStr">
        <is>
          <t>M5</t>
        </is>
      </c>
      <c r="F613" s="27" t="inlineStr">
        <is>
          <t>open</t>
        </is>
      </c>
      <c r="G613" s="27" t="inlineStr">
        <is>
          <t>Loss</t>
        </is>
      </c>
      <c r="H613" s="65" t="inlineStr">
        <is>
          <t>40_57062642_NDXUSD_sell_M5_open_2026-08-03-153449.png</t>
        </is>
      </c>
      <c r="I613" s="23" t="inlineStr">
        <is>
          <t>3214929/NDXUSD/2026-08-03_57062642_NDXUSD_sell_loss</t>
        </is>
      </c>
    </row>
    <row r="614">
      <c r="A614" s="24" t="n">
        <v>68</v>
      </c>
      <c r="B614" s="26" t="n">
        <v>57062642</v>
      </c>
      <c r="C614" s="27" t="inlineStr">
        <is>
          <t>NDXUSD</t>
        </is>
      </c>
      <c r="D614" s="27" t="inlineStr">
        <is>
          <t>sell</t>
        </is>
      </c>
      <c r="E614" s="27" t="inlineStr">
        <is>
          <t>M1</t>
        </is>
      </c>
      <c r="F614" s="27" t="inlineStr">
        <is>
          <t>close</t>
        </is>
      </c>
      <c r="G614" s="27" t="inlineStr">
        <is>
          <t>Loss</t>
        </is>
      </c>
      <c r="H614" s="65" t="inlineStr">
        <is>
          <t>50_57062642_NDXUSD_sell_M1_close_2026-08-03-161632.png</t>
        </is>
      </c>
      <c r="I614" s="23" t="inlineStr">
        <is>
          <t>3214929/NDXUSD/2026-08-03_57062642_NDXUSD_sell_loss</t>
        </is>
      </c>
    </row>
    <row r="615">
      <c r="A615" s="24" t="n">
        <v>68</v>
      </c>
      <c r="B615" s="26" t="n">
        <v>57062642</v>
      </c>
      <c r="C615" s="27" t="inlineStr">
        <is>
          <t>NDXUSD</t>
        </is>
      </c>
      <c r="D615" s="27" t="inlineStr">
        <is>
          <t>sell</t>
        </is>
      </c>
      <c r="E615" s="27" t="inlineStr">
        <is>
          <t>M1</t>
        </is>
      </c>
      <c r="F615" s="27" t="inlineStr">
        <is>
          <t>journey</t>
        </is>
      </c>
      <c r="G615" s="27" t="inlineStr">
        <is>
          <t>Loss</t>
        </is>
      </c>
      <c r="H615" s="65" t="inlineStr">
        <is>
          <t>50_57062642_NDXUSD_sell_M1_journey_2026-08-03-153449.png</t>
        </is>
      </c>
      <c r="I615" s="23" t="inlineStr">
        <is>
          <t>3214929/NDXUSD/2026-08-03_57062642_NDXUSD_sell_loss</t>
        </is>
      </c>
    </row>
    <row r="616">
      <c r="A616" s="24" t="n">
        <v>68</v>
      </c>
      <c r="B616" s="26" t="n">
        <v>57062642</v>
      </c>
      <c r="C616" s="27" t="inlineStr">
        <is>
          <t>NDXUSD</t>
        </is>
      </c>
      <c r="D616" s="27" t="inlineStr">
        <is>
          <t>sell</t>
        </is>
      </c>
      <c r="E616" s="27" t="inlineStr">
        <is>
          <t>M1</t>
        </is>
      </c>
      <c r="F616" s="27" t="inlineStr">
        <is>
          <t>open</t>
        </is>
      </c>
      <c r="G616" s="27" t="inlineStr">
        <is>
          <t>Loss</t>
        </is>
      </c>
      <c r="H616" s="65" t="inlineStr">
        <is>
          <t>50_57062642_NDXUSD_sell_M1_open_2026-08-03-153449.png</t>
        </is>
      </c>
      <c r="I616" s="23" t="inlineStr">
        <is>
          <t>3214929/NDXUSD/2026-08-03_57062642_NDXUSD_sell_loss</t>
        </is>
      </c>
    </row>
    <row r="617">
      <c r="A617" s="24" t="n">
        <v>69</v>
      </c>
      <c r="B617" s="26" t="n">
        <v>57073391</v>
      </c>
      <c r="C617" s="27" t="inlineStr">
        <is>
          <t>DJIUSD</t>
        </is>
      </c>
      <c r="D617" s="27" t="inlineStr">
        <is>
          <t>sell</t>
        </is>
      </c>
      <c r="E617" s="27" t="inlineStr">
        <is>
          <t>H4</t>
        </is>
      </c>
      <c r="F617" s="27" t="inlineStr">
        <is>
          <t>close</t>
        </is>
      </c>
      <c r="G617" s="27" t="inlineStr">
        <is>
          <t>Loss</t>
        </is>
      </c>
      <c r="H617" s="65" t="inlineStr">
        <is>
          <t>10_57073391_DJIUSD_sell_H4_close_2026-08-03-174309.png</t>
        </is>
      </c>
      <c r="I617" s="23" t="inlineStr">
        <is>
          <t>3214929/DJIUSD/2026-08-03_57073391_DJIUSD_sell_loss</t>
        </is>
      </c>
    </row>
    <row r="618">
      <c r="A618" s="24" t="n">
        <v>69</v>
      </c>
      <c r="B618" s="26" t="n">
        <v>57073391</v>
      </c>
      <c r="C618" s="27" t="inlineStr">
        <is>
          <t>DJIUSD</t>
        </is>
      </c>
      <c r="D618" s="27" t="inlineStr">
        <is>
          <t>sell</t>
        </is>
      </c>
      <c r="E618" s="27" t="inlineStr">
        <is>
          <t>H1</t>
        </is>
      </c>
      <c r="F618" s="27" t="inlineStr">
        <is>
          <t>close</t>
        </is>
      </c>
      <c r="G618" s="27" t="inlineStr">
        <is>
          <t>Loss</t>
        </is>
      </c>
      <c r="H618" s="65" t="inlineStr">
        <is>
          <t>20_57073391_DJIUSD_sell_H1_close_2026-08-03-174309.png</t>
        </is>
      </c>
      <c r="I618" s="23" t="inlineStr">
        <is>
          <t>3214929/DJIUSD/2026-08-03_57073391_DJIUSD_sell_loss</t>
        </is>
      </c>
    </row>
    <row r="619">
      <c r="A619" s="24" t="n">
        <v>69</v>
      </c>
      <c r="B619" s="26" t="n">
        <v>57073391</v>
      </c>
      <c r="C619" s="27" t="inlineStr">
        <is>
          <t>DJIUSD</t>
        </is>
      </c>
      <c r="D619" s="27" t="inlineStr">
        <is>
          <t>sell</t>
        </is>
      </c>
      <c r="E619" s="27" t="inlineStr">
        <is>
          <t>M15</t>
        </is>
      </c>
      <c r="F619" s="27" t="inlineStr">
        <is>
          <t>close</t>
        </is>
      </c>
      <c r="G619" s="27" t="inlineStr">
        <is>
          <t>Loss</t>
        </is>
      </c>
      <c r="H619" s="65" t="inlineStr">
        <is>
          <t>30_57073391_DJIUSD_sell_M15_close_2026-08-03-174309.png</t>
        </is>
      </c>
      <c r="I619" s="23" t="inlineStr">
        <is>
          <t>3214929/DJIUSD/2026-08-03_57073391_DJIUSD_sell_loss</t>
        </is>
      </c>
    </row>
    <row r="620">
      <c r="A620" s="24" t="n">
        <v>69</v>
      </c>
      <c r="B620" s="26" t="n">
        <v>57073391</v>
      </c>
      <c r="C620" s="27" t="inlineStr">
        <is>
          <t>DJIUSD</t>
        </is>
      </c>
      <c r="D620" s="27" t="inlineStr">
        <is>
          <t>sell</t>
        </is>
      </c>
      <c r="E620" s="27" t="inlineStr">
        <is>
          <t>M15</t>
        </is>
      </c>
      <c r="F620" s="27" t="inlineStr">
        <is>
          <t>open</t>
        </is>
      </c>
      <c r="G620" s="27" t="inlineStr">
        <is>
          <t>Loss</t>
        </is>
      </c>
      <c r="H620" s="65" t="inlineStr">
        <is>
          <t>30_57073391_DJIUSD_sell_M15_open_2026-08-03-160534.png</t>
        </is>
      </c>
      <c r="I620" s="23" t="inlineStr">
        <is>
          <t>3214929/DJIUSD/2026-08-03_57073391_DJIUSD_sell_loss</t>
        </is>
      </c>
    </row>
    <row r="621">
      <c r="A621" s="24" t="n">
        <v>69</v>
      </c>
      <c r="B621" s="26" t="n">
        <v>57073391</v>
      </c>
      <c r="C621" s="27" t="inlineStr">
        <is>
          <t>DJIUSD</t>
        </is>
      </c>
      <c r="D621" s="27" t="inlineStr">
        <is>
          <t>sell</t>
        </is>
      </c>
      <c r="E621" s="27" t="inlineStr">
        <is>
          <t>M5</t>
        </is>
      </c>
      <c r="F621" s="27" t="inlineStr">
        <is>
          <t>close</t>
        </is>
      </c>
      <c r="G621" s="27" t="inlineStr">
        <is>
          <t>Loss</t>
        </is>
      </c>
      <c r="H621" s="65" t="inlineStr">
        <is>
          <t>40_57073391_DJIUSD_sell_M5_close_2026-08-03-174309.png</t>
        </is>
      </c>
      <c r="I621" s="23" t="inlineStr">
        <is>
          <t>3214929/DJIUSD/2026-08-03_57073391_DJIUSD_sell_loss</t>
        </is>
      </c>
    </row>
    <row r="622">
      <c r="A622" s="24" t="n">
        <v>69</v>
      </c>
      <c r="B622" s="26" t="n">
        <v>57073391</v>
      </c>
      <c r="C622" s="27" t="inlineStr">
        <is>
          <t>DJIUSD</t>
        </is>
      </c>
      <c r="D622" s="27" t="inlineStr">
        <is>
          <t>sell</t>
        </is>
      </c>
      <c r="E622" s="27" t="inlineStr">
        <is>
          <t>M5</t>
        </is>
      </c>
      <c r="F622" s="27" t="inlineStr">
        <is>
          <t>open</t>
        </is>
      </c>
      <c r="G622" s="27" t="inlineStr">
        <is>
          <t>Loss</t>
        </is>
      </c>
      <c r="H622" s="65" t="inlineStr">
        <is>
          <t>40_57073391_DJIUSD_sell_M5_open_2026-08-03-160534.png</t>
        </is>
      </c>
      <c r="I622" s="23" t="inlineStr">
        <is>
          <t>3214929/DJIUSD/2026-08-03_57073391_DJIUSD_sell_loss</t>
        </is>
      </c>
    </row>
    <row r="623">
      <c r="A623" s="24" t="n">
        <v>69</v>
      </c>
      <c r="B623" s="26" t="n">
        <v>57073391</v>
      </c>
      <c r="C623" s="27" t="inlineStr">
        <is>
          <t>DJIUSD</t>
        </is>
      </c>
      <c r="D623" s="27" t="inlineStr">
        <is>
          <t>sell</t>
        </is>
      </c>
      <c r="E623" s="27" t="inlineStr">
        <is>
          <t>M1</t>
        </is>
      </c>
      <c r="F623" s="27" t="inlineStr">
        <is>
          <t>close</t>
        </is>
      </c>
      <c r="G623" s="27" t="inlineStr">
        <is>
          <t>Loss</t>
        </is>
      </c>
      <c r="H623" s="65" t="inlineStr">
        <is>
          <t>50_57073391_DJIUSD_sell_M1_close_2026-08-03-174309.png</t>
        </is>
      </c>
      <c r="I623" s="23" t="inlineStr">
        <is>
          <t>3214929/DJIUSD/2026-08-03_57073391_DJIUSD_sell_loss</t>
        </is>
      </c>
    </row>
    <row r="624">
      <c r="A624" s="24" t="n">
        <v>69</v>
      </c>
      <c r="B624" s="26" t="n">
        <v>57073391</v>
      </c>
      <c r="C624" s="27" t="inlineStr">
        <is>
          <t>DJIUSD</t>
        </is>
      </c>
      <c r="D624" s="27" t="inlineStr">
        <is>
          <t>sell</t>
        </is>
      </c>
      <c r="E624" s="27" t="inlineStr">
        <is>
          <t>M1</t>
        </is>
      </c>
      <c r="F624" s="27" t="inlineStr">
        <is>
          <t>journey</t>
        </is>
      </c>
      <c r="G624" s="27" t="inlineStr">
        <is>
          <t>Loss</t>
        </is>
      </c>
      <c r="H624" s="65" t="inlineStr">
        <is>
          <t>50_57073391_DJIUSD_sell_M1_journey_2026-08-03-160534.png</t>
        </is>
      </c>
      <c r="I624" s="23" t="inlineStr">
        <is>
          <t>3214929/DJIUSD/2026-08-03_57073391_DJIUSD_sell_loss</t>
        </is>
      </c>
    </row>
    <row r="625">
      <c r="A625" s="24" t="n">
        <v>69</v>
      </c>
      <c r="B625" s="26" t="n">
        <v>57073391</v>
      </c>
      <c r="C625" s="27" t="inlineStr">
        <is>
          <t>DJIUSD</t>
        </is>
      </c>
      <c r="D625" s="27" t="inlineStr">
        <is>
          <t>sell</t>
        </is>
      </c>
      <c r="E625" s="27" t="inlineStr">
        <is>
          <t>M1</t>
        </is>
      </c>
      <c r="F625" s="27" t="inlineStr">
        <is>
          <t>open</t>
        </is>
      </c>
      <c r="G625" s="27" t="inlineStr">
        <is>
          <t>Loss</t>
        </is>
      </c>
      <c r="H625" s="65" t="inlineStr">
        <is>
          <t>50_57073391_DJIUSD_sell_M1_open_2026-08-03-160534.png</t>
        </is>
      </c>
      <c r="I625" s="23" t="inlineStr">
        <is>
          <t>3214929/DJIUSD/2026-08-03_57073391_DJIUSD_sell_loss</t>
        </is>
      </c>
    </row>
    <row r="626">
      <c r="A626" s="24" t="n">
        <v>70</v>
      </c>
      <c r="B626" s="26" t="n">
        <v>57103528</v>
      </c>
      <c r="C626" s="27" t="inlineStr">
        <is>
          <t>DJIUSD</t>
        </is>
      </c>
      <c r="D626" s="27" t="inlineStr">
        <is>
          <t>buy</t>
        </is>
      </c>
      <c r="E626" s="27" t="inlineStr">
        <is>
          <t>H4</t>
        </is>
      </c>
      <c r="F626" s="27" t="inlineStr">
        <is>
          <t>close</t>
        </is>
      </c>
      <c r="G626" s="27" t="inlineStr">
        <is>
          <t>Loss</t>
        </is>
      </c>
      <c r="H626" s="65" t="inlineStr">
        <is>
          <t>10_57103528_DJIUSD_buy_H4_close_2026-08-03-183355.png</t>
        </is>
      </c>
      <c r="I626" s="23" t="inlineStr">
        <is>
          <t>3214929/DJIUSD/2026-08-03_57103528_DJIUSD_buy_loss</t>
        </is>
      </c>
    </row>
    <row r="627">
      <c r="A627" s="24" t="n">
        <v>70</v>
      </c>
      <c r="B627" s="26" t="n">
        <v>57103528</v>
      </c>
      <c r="C627" s="27" t="inlineStr">
        <is>
          <t>DJIUSD</t>
        </is>
      </c>
      <c r="D627" s="27" t="inlineStr">
        <is>
          <t>buy</t>
        </is>
      </c>
      <c r="E627" s="27" t="inlineStr">
        <is>
          <t>H1</t>
        </is>
      </c>
      <c r="F627" s="27" t="inlineStr">
        <is>
          <t>close</t>
        </is>
      </c>
      <c r="G627" s="27" t="inlineStr">
        <is>
          <t>Loss</t>
        </is>
      </c>
      <c r="H627" s="65" t="inlineStr">
        <is>
          <t>20_57103528_DJIUSD_buy_H1_close_2026-08-03-183355.png</t>
        </is>
      </c>
      <c r="I627" s="23" t="inlineStr">
        <is>
          <t>3214929/DJIUSD/2026-08-03_57103528_DJIUSD_buy_loss</t>
        </is>
      </c>
    </row>
    <row r="628">
      <c r="A628" s="24" t="n">
        <v>70</v>
      </c>
      <c r="B628" s="26" t="n">
        <v>57103528</v>
      </c>
      <c r="C628" s="27" t="inlineStr">
        <is>
          <t>DJIUSD</t>
        </is>
      </c>
      <c r="D628" s="27" t="inlineStr">
        <is>
          <t>buy</t>
        </is>
      </c>
      <c r="E628" s="27" t="inlineStr">
        <is>
          <t>M15</t>
        </is>
      </c>
      <c r="F628" s="27" t="inlineStr">
        <is>
          <t>close</t>
        </is>
      </c>
      <c r="G628" s="27" t="inlineStr">
        <is>
          <t>Loss</t>
        </is>
      </c>
      <c r="H628" s="65" t="inlineStr">
        <is>
          <t>30_57103528_DJIUSD_buy_M15_close_2026-08-03-183355.png</t>
        </is>
      </c>
      <c r="I628" s="23" t="inlineStr">
        <is>
          <t>3214929/DJIUSD/2026-08-03_57103528_DJIUSD_buy_loss</t>
        </is>
      </c>
    </row>
    <row r="629">
      <c r="A629" s="24" t="n">
        <v>70</v>
      </c>
      <c r="B629" s="26" t="n">
        <v>57103528</v>
      </c>
      <c r="C629" s="27" t="inlineStr">
        <is>
          <t>DJIUSD</t>
        </is>
      </c>
      <c r="D629" s="27" t="inlineStr">
        <is>
          <t>buy</t>
        </is>
      </c>
      <c r="E629" s="27" t="inlineStr">
        <is>
          <t>M15</t>
        </is>
      </c>
      <c r="F629" s="27" t="inlineStr">
        <is>
          <t>open</t>
        </is>
      </c>
      <c r="G629" s="27" t="inlineStr">
        <is>
          <t>Loss</t>
        </is>
      </c>
      <c r="H629" s="65" t="inlineStr">
        <is>
          <t>30_57103528_DJIUSD_buy_M15_open_2026-08-03-182839.png</t>
        </is>
      </c>
      <c r="I629" s="23" t="inlineStr">
        <is>
          <t>3214929/DJIUSD/2026-08-03_57103528_DJIUSD_buy_loss</t>
        </is>
      </c>
    </row>
    <row r="630">
      <c r="A630" s="24" t="n">
        <v>70</v>
      </c>
      <c r="B630" s="26" t="n">
        <v>57103528</v>
      </c>
      <c r="C630" s="27" t="inlineStr">
        <is>
          <t>DJIUSD</t>
        </is>
      </c>
      <c r="D630" s="27" t="inlineStr">
        <is>
          <t>buy</t>
        </is>
      </c>
      <c r="E630" s="27" t="inlineStr">
        <is>
          <t>M5</t>
        </is>
      </c>
      <c r="F630" s="27" t="inlineStr">
        <is>
          <t>close</t>
        </is>
      </c>
      <c r="G630" s="27" t="inlineStr">
        <is>
          <t>Loss</t>
        </is>
      </c>
      <c r="H630" s="65" t="inlineStr">
        <is>
          <t>40_57103528_DJIUSD_buy_M5_close_2026-08-03-183355.png</t>
        </is>
      </c>
      <c r="I630" s="23" t="inlineStr">
        <is>
          <t>3214929/DJIUSD/2026-08-03_57103528_DJIUSD_buy_loss</t>
        </is>
      </c>
    </row>
    <row r="631">
      <c r="A631" s="24" t="n">
        <v>70</v>
      </c>
      <c r="B631" s="26" t="n">
        <v>57103528</v>
      </c>
      <c r="C631" s="27" t="inlineStr">
        <is>
          <t>DJIUSD</t>
        </is>
      </c>
      <c r="D631" s="27" t="inlineStr">
        <is>
          <t>buy</t>
        </is>
      </c>
      <c r="E631" s="27" t="inlineStr">
        <is>
          <t>M5</t>
        </is>
      </c>
      <c r="F631" s="27" t="inlineStr">
        <is>
          <t>open</t>
        </is>
      </c>
      <c r="G631" s="27" t="inlineStr">
        <is>
          <t>Loss</t>
        </is>
      </c>
      <c r="H631" s="65" t="inlineStr">
        <is>
          <t>40_57103528_DJIUSD_buy_M5_open_2026-08-03-182839.png</t>
        </is>
      </c>
      <c r="I631" s="23" t="inlineStr">
        <is>
          <t>3214929/DJIUSD/2026-08-03_57103528_DJIUSD_buy_loss</t>
        </is>
      </c>
    </row>
    <row r="632">
      <c r="A632" s="24" t="n">
        <v>70</v>
      </c>
      <c r="B632" s="26" t="n">
        <v>57103528</v>
      </c>
      <c r="C632" s="27" t="inlineStr">
        <is>
          <t>DJIUSD</t>
        </is>
      </c>
      <c r="D632" s="27" t="inlineStr">
        <is>
          <t>buy</t>
        </is>
      </c>
      <c r="E632" s="27" t="inlineStr">
        <is>
          <t>M1</t>
        </is>
      </c>
      <c r="F632" s="27" t="inlineStr">
        <is>
          <t>close</t>
        </is>
      </c>
      <c r="G632" s="27" t="inlineStr">
        <is>
          <t>Loss</t>
        </is>
      </c>
      <c r="H632" s="65" t="inlineStr">
        <is>
          <t>50_57103528_DJIUSD_buy_M1_close_2026-08-03-183355.png</t>
        </is>
      </c>
      <c r="I632" s="23" t="inlineStr">
        <is>
          <t>3214929/DJIUSD/2026-08-03_57103528_DJIUSD_buy_loss</t>
        </is>
      </c>
    </row>
    <row r="633">
      <c r="A633" s="24" t="n">
        <v>70</v>
      </c>
      <c r="B633" s="26" t="n">
        <v>57103528</v>
      </c>
      <c r="C633" s="27" t="inlineStr">
        <is>
          <t>DJIUSD</t>
        </is>
      </c>
      <c r="D633" s="27" t="inlineStr">
        <is>
          <t>buy</t>
        </is>
      </c>
      <c r="E633" s="27" t="inlineStr">
        <is>
          <t>M1</t>
        </is>
      </c>
      <c r="F633" s="27" t="inlineStr">
        <is>
          <t>journey</t>
        </is>
      </c>
      <c r="G633" s="27" t="inlineStr">
        <is>
          <t>Loss</t>
        </is>
      </c>
      <c r="H633" s="65" t="inlineStr">
        <is>
          <t>50_57103528_DJIUSD_buy_M1_journey_2026-08-03-182839.png</t>
        </is>
      </c>
      <c r="I633" s="23" t="inlineStr">
        <is>
          <t>3214929/DJIUSD/2026-08-03_57103528_DJIUSD_buy_loss</t>
        </is>
      </c>
    </row>
    <row r="634">
      <c r="A634" s="24" t="n">
        <v>70</v>
      </c>
      <c r="B634" s="26" t="n">
        <v>57103528</v>
      </c>
      <c r="C634" s="27" t="inlineStr">
        <is>
          <t>DJIUSD</t>
        </is>
      </c>
      <c r="D634" s="27" t="inlineStr">
        <is>
          <t>buy</t>
        </is>
      </c>
      <c r="E634" s="27" t="inlineStr">
        <is>
          <t>M1</t>
        </is>
      </c>
      <c r="F634" s="27" t="inlineStr">
        <is>
          <t>open</t>
        </is>
      </c>
      <c r="G634" s="27" t="inlineStr">
        <is>
          <t>Loss</t>
        </is>
      </c>
      <c r="H634" s="65" t="inlineStr">
        <is>
          <t>50_57103528_DJIUSD_buy_M1_open_2026-08-03-182839.png</t>
        </is>
      </c>
      <c r="I634" s="23" t="inlineStr">
        <is>
          <t>3214929/DJIUSD/2026-08-03_57103528_DJIUSD_buy_loss</t>
        </is>
      </c>
    </row>
    <row r="635">
      <c r="A635" s="24" t="n">
        <v>71</v>
      </c>
      <c r="B635" s="26" t="n">
        <v>57182957</v>
      </c>
      <c r="C635" s="27" t="inlineStr">
        <is>
          <t>DAXEUR</t>
        </is>
      </c>
      <c r="D635" s="27" t="inlineStr">
        <is>
          <t>buy</t>
        </is>
      </c>
      <c r="E635" s="27" t="inlineStr">
        <is>
          <t>H4</t>
        </is>
      </c>
      <c r="F635" s="27" t="inlineStr">
        <is>
          <t>close</t>
        </is>
      </c>
      <c r="G635" s="27" t="inlineStr">
        <is>
          <t>Win</t>
        </is>
      </c>
      <c r="H635" s="65" t="inlineStr">
        <is>
          <t>10_57182957_DAXEUR_buy_H4_close_2026-08-04-072813.png</t>
        </is>
      </c>
      <c r="I635" s="23" t="inlineStr">
        <is>
          <t>3214929/DAXEUR/2026-08-04_57182957_DAXEUR_buy_win</t>
        </is>
      </c>
    </row>
    <row r="636">
      <c r="A636" s="24" t="n">
        <v>71</v>
      </c>
      <c r="B636" s="26" t="n">
        <v>57182957</v>
      </c>
      <c r="C636" s="27" t="inlineStr">
        <is>
          <t>DAXEUR</t>
        </is>
      </c>
      <c r="D636" s="27" t="inlineStr">
        <is>
          <t>buy</t>
        </is>
      </c>
      <c r="E636" s="27" t="inlineStr">
        <is>
          <t>H1</t>
        </is>
      </c>
      <c r="F636" s="27" t="inlineStr">
        <is>
          <t>close</t>
        </is>
      </c>
      <c r="G636" s="27" t="inlineStr">
        <is>
          <t>Win</t>
        </is>
      </c>
      <c r="H636" s="65" t="inlineStr">
        <is>
          <t>20_57182957_DAXEUR_buy_H1_close_2026-08-04-072813.png</t>
        </is>
      </c>
      <c r="I636" s="23" t="inlineStr">
        <is>
          <t>3214929/DAXEUR/2026-08-04_57182957_DAXEUR_buy_win</t>
        </is>
      </c>
    </row>
    <row r="637">
      <c r="A637" s="24" t="n">
        <v>71</v>
      </c>
      <c r="B637" s="26" t="n">
        <v>57182957</v>
      </c>
      <c r="C637" s="27" t="inlineStr">
        <is>
          <t>DAXEUR</t>
        </is>
      </c>
      <c r="D637" s="27" t="inlineStr">
        <is>
          <t>buy</t>
        </is>
      </c>
      <c r="E637" s="27" t="inlineStr">
        <is>
          <t>M15</t>
        </is>
      </c>
      <c r="F637" s="27" t="inlineStr">
        <is>
          <t>close</t>
        </is>
      </c>
      <c r="G637" s="27" t="inlineStr">
        <is>
          <t>Win</t>
        </is>
      </c>
      <c r="H637" s="65" t="inlineStr">
        <is>
          <t>30_57182957_DAXEUR_buy_M15_close_2026-08-04-072813.png</t>
        </is>
      </c>
      <c r="I637" s="23" t="inlineStr">
        <is>
          <t>3214929/DAXEUR/2026-08-04_57182957_DAXEUR_buy_win</t>
        </is>
      </c>
    </row>
    <row r="638">
      <c r="A638" s="24" t="n">
        <v>71</v>
      </c>
      <c r="B638" s="26" t="n">
        <v>57182957</v>
      </c>
      <c r="C638" s="27" t="inlineStr">
        <is>
          <t>DAXEUR</t>
        </is>
      </c>
      <c r="D638" s="27" t="inlineStr">
        <is>
          <t>buy</t>
        </is>
      </c>
      <c r="E638" s="27" t="inlineStr">
        <is>
          <t>M15</t>
        </is>
      </c>
      <c r="F638" s="27" t="inlineStr">
        <is>
          <t>open</t>
        </is>
      </c>
      <c r="G638" s="27" t="inlineStr">
        <is>
          <t>Win</t>
        </is>
      </c>
      <c r="H638" s="65" t="inlineStr">
        <is>
          <t>30_57182957_DAXEUR_buy_M15_open_2026-08-04-072215.png</t>
        </is>
      </c>
      <c r="I638" s="23" t="inlineStr">
        <is>
          <t>3214929/DAXEUR/2026-08-04_57182957_DAXEUR_buy_win</t>
        </is>
      </c>
    </row>
    <row r="639">
      <c r="A639" s="24" t="n">
        <v>71</v>
      </c>
      <c r="B639" s="26" t="n">
        <v>57182957</v>
      </c>
      <c r="C639" s="27" t="inlineStr">
        <is>
          <t>DAXEUR</t>
        </is>
      </c>
      <c r="D639" s="27" t="inlineStr">
        <is>
          <t>buy</t>
        </is>
      </c>
      <c r="E639" s="27" t="inlineStr">
        <is>
          <t>M5</t>
        </is>
      </c>
      <c r="F639" s="27" t="inlineStr">
        <is>
          <t>close</t>
        </is>
      </c>
      <c r="G639" s="27" t="inlineStr">
        <is>
          <t>Win</t>
        </is>
      </c>
      <c r="H639" s="65" t="inlineStr">
        <is>
          <t>40_57182957_DAXEUR_buy_M5_close_2026-08-04-072813.png</t>
        </is>
      </c>
      <c r="I639" s="23" t="inlineStr">
        <is>
          <t>3214929/DAXEUR/2026-08-04_57182957_DAXEUR_buy_win</t>
        </is>
      </c>
    </row>
    <row r="640">
      <c r="A640" s="24" t="n">
        <v>71</v>
      </c>
      <c r="B640" s="26" t="n">
        <v>57182957</v>
      </c>
      <c r="C640" s="27" t="inlineStr">
        <is>
          <t>DAXEUR</t>
        </is>
      </c>
      <c r="D640" s="27" t="inlineStr">
        <is>
          <t>buy</t>
        </is>
      </c>
      <c r="E640" s="27" t="inlineStr">
        <is>
          <t>M5</t>
        </is>
      </c>
      <c r="F640" s="27" t="inlineStr">
        <is>
          <t>open</t>
        </is>
      </c>
      <c r="G640" s="27" t="inlineStr">
        <is>
          <t>Win</t>
        </is>
      </c>
      <c r="H640" s="65" t="inlineStr">
        <is>
          <t>40_57182957_DAXEUR_buy_M5_open_2026-08-04-072215.png</t>
        </is>
      </c>
      <c r="I640" s="23" t="inlineStr">
        <is>
          <t>3214929/DAXEUR/2026-08-04_57182957_DAXEUR_buy_win</t>
        </is>
      </c>
    </row>
    <row r="641">
      <c r="A641" s="24" t="n">
        <v>71</v>
      </c>
      <c r="B641" s="26" t="n">
        <v>57182957</v>
      </c>
      <c r="C641" s="27" t="inlineStr">
        <is>
          <t>DAXEUR</t>
        </is>
      </c>
      <c r="D641" s="27" t="inlineStr">
        <is>
          <t>buy</t>
        </is>
      </c>
      <c r="E641" s="27" t="inlineStr">
        <is>
          <t>M1</t>
        </is>
      </c>
      <c r="F641" s="27" t="inlineStr">
        <is>
          <t>close</t>
        </is>
      </c>
      <c r="G641" s="27" t="inlineStr">
        <is>
          <t>Win</t>
        </is>
      </c>
      <c r="H641" s="65" t="inlineStr">
        <is>
          <t>50_57182957_DAXEUR_buy_M1_close_2026-08-04-072813.png</t>
        </is>
      </c>
      <c r="I641" s="23" t="inlineStr">
        <is>
          <t>3214929/DAXEUR/2026-08-04_57182957_DAXEUR_buy_win</t>
        </is>
      </c>
    </row>
    <row r="642">
      <c r="A642" s="24" t="n">
        <v>71</v>
      </c>
      <c r="B642" s="26" t="n">
        <v>57182957</v>
      </c>
      <c r="C642" s="27" t="inlineStr">
        <is>
          <t>DAXEUR</t>
        </is>
      </c>
      <c r="D642" s="27" t="inlineStr">
        <is>
          <t>buy</t>
        </is>
      </c>
      <c r="E642" s="27" t="inlineStr">
        <is>
          <t>M1</t>
        </is>
      </c>
      <c r="F642" s="27" t="inlineStr">
        <is>
          <t>journey</t>
        </is>
      </c>
      <c r="G642" s="27" t="inlineStr">
        <is>
          <t>Win</t>
        </is>
      </c>
      <c r="H642" s="65" t="inlineStr">
        <is>
          <t>50_57182957_DAXEUR_buy_M1_journey_2026-08-04-072215.png</t>
        </is>
      </c>
      <c r="I642" s="23" t="inlineStr">
        <is>
          <t>3214929/DAXEUR/2026-08-04_57182957_DAXEUR_buy_win</t>
        </is>
      </c>
    </row>
    <row r="643">
      <c r="A643" s="24" t="n">
        <v>71</v>
      </c>
      <c r="B643" s="26" t="n">
        <v>57182957</v>
      </c>
      <c r="C643" s="27" t="inlineStr">
        <is>
          <t>DAXEUR</t>
        </is>
      </c>
      <c r="D643" s="27" t="inlineStr">
        <is>
          <t>buy</t>
        </is>
      </c>
      <c r="E643" s="27" t="inlineStr">
        <is>
          <t>M1</t>
        </is>
      </c>
      <c r="F643" s="27" t="inlineStr">
        <is>
          <t>open</t>
        </is>
      </c>
      <c r="G643" s="27" t="inlineStr">
        <is>
          <t>Win</t>
        </is>
      </c>
      <c r="H643" s="65" t="inlineStr">
        <is>
          <t>50_57182957_DAXEUR_buy_M1_open_2026-08-04-072215.png</t>
        </is>
      </c>
      <c r="I643" s="23" t="inlineStr">
        <is>
          <t>3214929/DAXEUR/2026-08-04_57182957_DAXEUR_buy_win</t>
        </is>
      </c>
    </row>
    <row r="644">
      <c r="A644" s="24" t="n">
        <v>72</v>
      </c>
      <c r="B644" s="26" t="n">
        <v>57182998</v>
      </c>
      <c r="C644" s="27" t="inlineStr">
        <is>
          <t>DAXEUR</t>
        </is>
      </c>
      <c r="D644" s="27" t="inlineStr">
        <is>
          <t>buy</t>
        </is>
      </c>
      <c r="E644" s="27" t="inlineStr">
        <is>
          <t>H4</t>
        </is>
      </c>
      <c r="F644" s="27" t="inlineStr">
        <is>
          <t>close</t>
        </is>
      </c>
      <c r="G644" s="27" t="inlineStr">
        <is>
          <t>Win</t>
        </is>
      </c>
      <c r="H644" s="65" t="inlineStr">
        <is>
          <t>10_57182998_DAXEUR_buy_H4_close_2026-08-04-072817.png</t>
        </is>
      </c>
      <c r="I644" s="23" t="inlineStr">
        <is>
          <t>3214929/DAXEUR/2026-08-04_57182998_DAXEUR_buy_win</t>
        </is>
      </c>
    </row>
    <row r="645">
      <c r="A645" s="24" t="n">
        <v>72</v>
      </c>
      <c r="B645" s="26" t="n">
        <v>57182998</v>
      </c>
      <c r="C645" s="27" t="inlineStr">
        <is>
          <t>DAXEUR</t>
        </is>
      </c>
      <c r="D645" s="27" t="inlineStr">
        <is>
          <t>buy</t>
        </is>
      </c>
      <c r="E645" s="27" t="inlineStr">
        <is>
          <t>H1</t>
        </is>
      </c>
      <c r="F645" s="27" t="inlineStr">
        <is>
          <t>close</t>
        </is>
      </c>
      <c r="G645" s="27" t="inlineStr">
        <is>
          <t>Win</t>
        </is>
      </c>
      <c r="H645" s="65" t="inlineStr">
        <is>
          <t>20_57182998_DAXEUR_buy_H1_close_2026-08-04-072817.png</t>
        </is>
      </c>
      <c r="I645" s="23" t="inlineStr">
        <is>
          <t>3214929/DAXEUR/2026-08-04_57182998_DAXEUR_buy_win</t>
        </is>
      </c>
    </row>
    <row r="646">
      <c r="A646" s="24" t="n">
        <v>72</v>
      </c>
      <c r="B646" s="26" t="n">
        <v>57182998</v>
      </c>
      <c r="C646" s="27" t="inlineStr">
        <is>
          <t>DAXEUR</t>
        </is>
      </c>
      <c r="D646" s="27" t="inlineStr">
        <is>
          <t>buy</t>
        </is>
      </c>
      <c r="E646" s="27" t="inlineStr">
        <is>
          <t>M15</t>
        </is>
      </c>
      <c r="F646" s="27" t="inlineStr">
        <is>
          <t>close</t>
        </is>
      </c>
      <c r="G646" s="27" t="inlineStr">
        <is>
          <t>Win</t>
        </is>
      </c>
      <c r="H646" s="65" t="inlineStr">
        <is>
          <t>30_57182998_DAXEUR_buy_M15_close_2026-08-04-072817.png</t>
        </is>
      </c>
      <c r="I646" s="23" t="inlineStr">
        <is>
          <t>3214929/DAXEUR/2026-08-04_57182998_DAXEUR_buy_win</t>
        </is>
      </c>
    </row>
    <row r="647">
      <c r="A647" s="24" t="n">
        <v>72</v>
      </c>
      <c r="B647" s="26" t="n">
        <v>57182998</v>
      </c>
      <c r="C647" s="27" t="inlineStr">
        <is>
          <t>DAXEUR</t>
        </is>
      </c>
      <c r="D647" s="27" t="inlineStr">
        <is>
          <t>buy</t>
        </is>
      </c>
      <c r="E647" s="27" t="inlineStr">
        <is>
          <t>M15</t>
        </is>
      </c>
      <c r="F647" s="27" t="inlineStr">
        <is>
          <t>open</t>
        </is>
      </c>
      <c r="G647" s="27" t="inlineStr">
        <is>
          <t>Win</t>
        </is>
      </c>
      <c r="H647" s="65" t="inlineStr">
        <is>
          <t>30_57182998_DAXEUR_buy_M15_open_2026-08-04-072224.png</t>
        </is>
      </c>
      <c r="I647" s="23" t="inlineStr">
        <is>
          <t>3214929/DAXEUR/2026-08-04_57182998_DAXEUR_buy_win</t>
        </is>
      </c>
    </row>
    <row r="648">
      <c r="A648" s="24" t="n">
        <v>72</v>
      </c>
      <c r="B648" s="26" t="n">
        <v>57182998</v>
      </c>
      <c r="C648" s="27" t="inlineStr">
        <is>
          <t>DAXEUR</t>
        </is>
      </c>
      <c r="D648" s="27" t="inlineStr">
        <is>
          <t>buy</t>
        </is>
      </c>
      <c r="E648" s="27" t="inlineStr">
        <is>
          <t>M5</t>
        </is>
      </c>
      <c r="F648" s="27" t="inlineStr">
        <is>
          <t>close</t>
        </is>
      </c>
      <c r="G648" s="27" t="inlineStr">
        <is>
          <t>Win</t>
        </is>
      </c>
      <c r="H648" s="65" t="inlineStr">
        <is>
          <t>40_57182998_DAXEUR_buy_M5_close_2026-08-04-072817.png</t>
        </is>
      </c>
      <c r="I648" s="23" t="inlineStr">
        <is>
          <t>3214929/DAXEUR/2026-08-04_57182998_DAXEUR_buy_win</t>
        </is>
      </c>
    </row>
    <row r="649">
      <c r="A649" s="24" t="n">
        <v>72</v>
      </c>
      <c r="B649" s="26" t="n">
        <v>57182998</v>
      </c>
      <c r="C649" s="27" t="inlineStr">
        <is>
          <t>DAXEUR</t>
        </is>
      </c>
      <c r="D649" s="27" t="inlineStr">
        <is>
          <t>buy</t>
        </is>
      </c>
      <c r="E649" s="27" t="inlineStr">
        <is>
          <t>M5</t>
        </is>
      </c>
      <c r="F649" s="27" t="inlineStr">
        <is>
          <t>open</t>
        </is>
      </c>
      <c r="G649" s="27" t="inlineStr">
        <is>
          <t>Win</t>
        </is>
      </c>
      <c r="H649" s="65" t="inlineStr">
        <is>
          <t>40_57182998_DAXEUR_buy_M5_open_2026-08-04-072224.png</t>
        </is>
      </c>
      <c r="I649" s="23" t="inlineStr">
        <is>
          <t>3214929/DAXEUR/2026-08-04_57182998_DAXEUR_buy_win</t>
        </is>
      </c>
    </row>
    <row r="650">
      <c r="A650" s="24" t="n">
        <v>72</v>
      </c>
      <c r="B650" s="26" t="n">
        <v>57182998</v>
      </c>
      <c r="C650" s="27" t="inlineStr">
        <is>
          <t>DAXEUR</t>
        </is>
      </c>
      <c r="D650" s="27" t="inlineStr">
        <is>
          <t>buy</t>
        </is>
      </c>
      <c r="E650" s="27" t="inlineStr">
        <is>
          <t>M1</t>
        </is>
      </c>
      <c r="F650" s="27" t="inlineStr">
        <is>
          <t>close</t>
        </is>
      </c>
      <c r="G650" s="27" t="inlineStr">
        <is>
          <t>Win</t>
        </is>
      </c>
      <c r="H650" s="65" t="inlineStr">
        <is>
          <t>50_57182998_DAXEUR_buy_M1_close_2026-08-04-072817.png</t>
        </is>
      </c>
      <c r="I650" s="23" t="inlineStr">
        <is>
          <t>3214929/DAXEUR/2026-08-04_57182998_DAXEUR_buy_win</t>
        </is>
      </c>
    </row>
    <row r="651">
      <c r="A651" s="24" t="n">
        <v>72</v>
      </c>
      <c r="B651" s="26" t="n">
        <v>57182998</v>
      </c>
      <c r="C651" s="27" t="inlineStr">
        <is>
          <t>DAXEUR</t>
        </is>
      </c>
      <c r="D651" s="27" t="inlineStr">
        <is>
          <t>buy</t>
        </is>
      </c>
      <c r="E651" s="27" t="inlineStr">
        <is>
          <t>M1</t>
        </is>
      </c>
      <c r="F651" s="27" t="inlineStr">
        <is>
          <t>journey</t>
        </is>
      </c>
      <c r="G651" s="27" t="inlineStr">
        <is>
          <t>Win</t>
        </is>
      </c>
      <c r="H651" s="65" t="inlineStr">
        <is>
          <t>50_57182998_DAXEUR_buy_M1_journey_2026-08-04-072224.png</t>
        </is>
      </c>
      <c r="I651" s="23" t="inlineStr">
        <is>
          <t>3214929/DAXEUR/2026-08-04_57182998_DAXEUR_buy_win</t>
        </is>
      </c>
    </row>
    <row r="652">
      <c r="A652" s="24" t="n">
        <v>72</v>
      </c>
      <c r="B652" s="26" t="n">
        <v>57182998</v>
      </c>
      <c r="C652" s="27" t="inlineStr">
        <is>
          <t>DAXEUR</t>
        </is>
      </c>
      <c r="D652" s="27" t="inlineStr">
        <is>
          <t>buy</t>
        </is>
      </c>
      <c r="E652" s="27" t="inlineStr">
        <is>
          <t>M1</t>
        </is>
      </c>
      <c r="F652" s="27" t="inlineStr">
        <is>
          <t>open</t>
        </is>
      </c>
      <c r="G652" s="27" t="inlineStr">
        <is>
          <t>Win</t>
        </is>
      </c>
      <c r="H652" s="65" t="inlineStr">
        <is>
          <t>50_57182998_DAXEUR_buy_M1_open_2026-08-04-072224.png</t>
        </is>
      </c>
      <c r="I652" s="23" t="inlineStr">
        <is>
          <t>3214929/DAXEUR/2026-08-04_57182998_DAXEUR_buy_win</t>
        </is>
      </c>
    </row>
    <row r="653">
      <c r="A653" s="24" t="n">
        <v>73</v>
      </c>
      <c r="B653" s="26" t="n">
        <v>57186051</v>
      </c>
      <c r="C653" s="27" t="inlineStr">
        <is>
          <t>DAXEUR</t>
        </is>
      </c>
      <c r="D653" s="27" t="inlineStr">
        <is>
          <t>sell</t>
        </is>
      </c>
      <c r="E653" s="27" t="inlineStr">
        <is>
          <t>H4</t>
        </is>
      </c>
      <c r="F653" s="27" t="inlineStr">
        <is>
          <t>close</t>
        </is>
      </c>
      <c r="G653" s="27" t="inlineStr">
        <is>
          <t>Win</t>
        </is>
      </c>
      <c r="H653" s="65" t="inlineStr">
        <is>
          <t>10_57186051_DAXEUR_sell_H4_close_2026-08-04-074400.png</t>
        </is>
      </c>
      <c r="I653" s="23" t="inlineStr">
        <is>
          <t>3214929/DAXEUR/2026-08-04_57186051_DAXEUR_sell_win</t>
        </is>
      </c>
    </row>
    <row r="654">
      <c r="A654" s="24" t="n">
        <v>73</v>
      </c>
      <c r="B654" s="26" t="n">
        <v>57186051</v>
      </c>
      <c r="C654" s="27" t="inlineStr">
        <is>
          <t>DAXEUR</t>
        </is>
      </c>
      <c r="D654" s="27" t="inlineStr">
        <is>
          <t>sell</t>
        </is>
      </c>
      <c r="E654" s="27" t="inlineStr">
        <is>
          <t>H1</t>
        </is>
      </c>
      <c r="F654" s="27" t="inlineStr">
        <is>
          <t>close</t>
        </is>
      </c>
      <c r="G654" s="27" t="inlineStr">
        <is>
          <t>Win</t>
        </is>
      </c>
      <c r="H654" s="65" t="inlineStr">
        <is>
          <t>20_57186051_DAXEUR_sell_H1_close_2026-08-04-074400.png</t>
        </is>
      </c>
      <c r="I654" s="23" t="inlineStr">
        <is>
          <t>3214929/DAXEUR/2026-08-04_57186051_DAXEUR_sell_win</t>
        </is>
      </c>
    </row>
    <row r="655">
      <c r="A655" s="24" t="n">
        <v>73</v>
      </c>
      <c r="B655" s="26" t="n">
        <v>57186051</v>
      </c>
      <c r="C655" s="27" t="inlineStr">
        <is>
          <t>DAXEUR</t>
        </is>
      </c>
      <c r="D655" s="27" t="inlineStr">
        <is>
          <t>sell</t>
        </is>
      </c>
      <c r="E655" s="27" t="inlineStr">
        <is>
          <t>M15</t>
        </is>
      </c>
      <c r="F655" s="27" t="inlineStr">
        <is>
          <t>close</t>
        </is>
      </c>
      <c r="G655" s="27" t="inlineStr">
        <is>
          <t>Win</t>
        </is>
      </c>
      <c r="H655" s="65" t="inlineStr">
        <is>
          <t>30_57186051_DAXEUR_sell_M15_close_2026-08-04-074400.png</t>
        </is>
      </c>
      <c r="I655" s="23" t="inlineStr">
        <is>
          <t>3214929/DAXEUR/2026-08-04_57186051_DAXEUR_sell_win</t>
        </is>
      </c>
    </row>
    <row r="656">
      <c r="A656" s="24" t="n">
        <v>73</v>
      </c>
      <c r="B656" s="26" t="n">
        <v>57186051</v>
      </c>
      <c r="C656" s="27" t="inlineStr">
        <is>
          <t>DAXEUR</t>
        </is>
      </c>
      <c r="D656" s="27" t="inlineStr">
        <is>
          <t>sell</t>
        </is>
      </c>
      <c r="E656" s="27" t="inlineStr">
        <is>
          <t>M15</t>
        </is>
      </c>
      <c r="F656" s="27" t="inlineStr">
        <is>
          <t>open</t>
        </is>
      </c>
      <c r="G656" s="27" t="inlineStr">
        <is>
          <t>Win</t>
        </is>
      </c>
      <c r="H656" s="65" t="inlineStr">
        <is>
          <t>30_57186051_DAXEUR_sell_M15_open_2026-08-04-073326.png</t>
        </is>
      </c>
      <c r="I656" s="23" t="inlineStr">
        <is>
          <t>3214929/DAXEUR/2026-08-04_57186051_DAXEUR_sell_win</t>
        </is>
      </c>
    </row>
    <row r="657">
      <c r="A657" s="24" t="n">
        <v>73</v>
      </c>
      <c r="B657" s="26" t="n">
        <v>57186051</v>
      </c>
      <c r="C657" s="27" t="inlineStr">
        <is>
          <t>DAXEUR</t>
        </is>
      </c>
      <c r="D657" s="27" t="inlineStr">
        <is>
          <t>sell</t>
        </is>
      </c>
      <c r="E657" s="27" t="inlineStr">
        <is>
          <t>M5</t>
        </is>
      </c>
      <c r="F657" s="27" t="inlineStr">
        <is>
          <t>close</t>
        </is>
      </c>
      <c r="G657" s="27" t="inlineStr">
        <is>
          <t>Win</t>
        </is>
      </c>
      <c r="H657" s="65" t="inlineStr">
        <is>
          <t>40_57186051_DAXEUR_sell_M5_close_2026-08-04-074400.png</t>
        </is>
      </c>
      <c r="I657" s="23" t="inlineStr">
        <is>
          <t>3214929/DAXEUR/2026-08-04_57186051_DAXEUR_sell_win</t>
        </is>
      </c>
    </row>
    <row r="658">
      <c r="A658" s="24" t="n">
        <v>73</v>
      </c>
      <c r="B658" s="26" t="n">
        <v>57186051</v>
      </c>
      <c r="C658" s="27" t="inlineStr">
        <is>
          <t>DAXEUR</t>
        </is>
      </c>
      <c r="D658" s="27" t="inlineStr">
        <is>
          <t>sell</t>
        </is>
      </c>
      <c r="E658" s="27" t="inlineStr">
        <is>
          <t>M5</t>
        </is>
      </c>
      <c r="F658" s="27" t="inlineStr">
        <is>
          <t>open</t>
        </is>
      </c>
      <c r="G658" s="27" t="inlineStr">
        <is>
          <t>Win</t>
        </is>
      </c>
      <c r="H658" s="65" t="inlineStr">
        <is>
          <t>40_57186051_DAXEUR_sell_M5_open_2026-08-04-073326.png</t>
        </is>
      </c>
      <c r="I658" s="23" t="inlineStr">
        <is>
          <t>3214929/DAXEUR/2026-08-04_57186051_DAXEUR_sell_win</t>
        </is>
      </c>
    </row>
    <row r="659">
      <c r="A659" s="24" t="n">
        <v>73</v>
      </c>
      <c r="B659" s="26" t="n">
        <v>57186051</v>
      </c>
      <c r="C659" s="27" t="inlineStr">
        <is>
          <t>DAXEUR</t>
        </is>
      </c>
      <c r="D659" s="27" t="inlineStr">
        <is>
          <t>sell</t>
        </is>
      </c>
      <c r="E659" s="27" t="inlineStr">
        <is>
          <t>M1</t>
        </is>
      </c>
      <c r="F659" s="27" t="inlineStr">
        <is>
          <t>close</t>
        </is>
      </c>
      <c r="G659" s="27" t="inlineStr">
        <is>
          <t>Win</t>
        </is>
      </c>
      <c r="H659" s="65" t="inlineStr">
        <is>
          <t>50_57186051_DAXEUR_sell_M1_close_2026-08-04-074400.png</t>
        </is>
      </c>
      <c r="I659" s="23" t="inlineStr">
        <is>
          <t>3214929/DAXEUR/2026-08-04_57186051_DAXEUR_sell_win</t>
        </is>
      </c>
    </row>
    <row r="660">
      <c r="A660" s="24" t="n">
        <v>73</v>
      </c>
      <c r="B660" s="26" t="n">
        <v>57186051</v>
      </c>
      <c r="C660" s="27" t="inlineStr">
        <is>
          <t>DAXEUR</t>
        </is>
      </c>
      <c r="D660" s="27" t="inlineStr">
        <is>
          <t>sell</t>
        </is>
      </c>
      <c r="E660" s="27" t="inlineStr">
        <is>
          <t>M1</t>
        </is>
      </c>
      <c r="F660" s="27" t="inlineStr">
        <is>
          <t>journey</t>
        </is>
      </c>
      <c r="G660" s="27" t="inlineStr">
        <is>
          <t>Win</t>
        </is>
      </c>
      <c r="H660" s="65" t="inlineStr">
        <is>
          <t>50_57186051_DAXEUR_sell_M1_journey_2026-08-04-073326.png</t>
        </is>
      </c>
      <c r="I660" s="23" t="inlineStr">
        <is>
          <t>3214929/DAXEUR/2026-08-04_57186051_DAXEUR_sell_win</t>
        </is>
      </c>
    </row>
    <row r="661">
      <c r="A661" s="24" t="n">
        <v>73</v>
      </c>
      <c r="B661" s="26" t="n">
        <v>57186051</v>
      </c>
      <c r="C661" s="27" t="inlineStr">
        <is>
          <t>DAXEUR</t>
        </is>
      </c>
      <c r="D661" s="27" t="inlineStr">
        <is>
          <t>sell</t>
        </is>
      </c>
      <c r="E661" s="27" t="inlineStr">
        <is>
          <t>M1</t>
        </is>
      </c>
      <c r="F661" s="27" t="inlineStr">
        <is>
          <t>open</t>
        </is>
      </c>
      <c r="G661" s="27" t="inlineStr">
        <is>
          <t>Win</t>
        </is>
      </c>
      <c r="H661" s="65" t="inlineStr">
        <is>
          <t>50_57186051_DAXEUR_sell_M1_open_2026-08-04-073326.png</t>
        </is>
      </c>
      <c r="I661" s="23" t="inlineStr">
        <is>
          <t>3214929/DAXEUR/2026-08-04_57186051_DAXEUR_sell_win</t>
        </is>
      </c>
    </row>
  </sheetData>
  <mergeCells count="2">
    <mergeCell ref="A1:I1"/>
    <mergeCell ref="A2:I2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0" r:id="rId46"/>
    <hyperlink xmlns:r="http://schemas.openxmlformats.org/officeDocument/2006/relationships" ref="H51" r:id="rId47"/>
    <hyperlink xmlns:r="http://schemas.openxmlformats.org/officeDocument/2006/relationships" ref="H52" r:id="rId48"/>
    <hyperlink xmlns:r="http://schemas.openxmlformats.org/officeDocument/2006/relationships" ref="H53" r:id="rId49"/>
    <hyperlink xmlns:r="http://schemas.openxmlformats.org/officeDocument/2006/relationships" ref="H54" r:id="rId50"/>
    <hyperlink xmlns:r="http://schemas.openxmlformats.org/officeDocument/2006/relationships" ref="H55" r:id="rId51"/>
    <hyperlink xmlns:r="http://schemas.openxmlformats.org/officeDocument/2006/relationships" ref="H56" r:id="rId52"/>
    <hyperlink xmlns:r="http://schemas.openxmlformats.org/officeDocument/2006/relationships" ref="H57" r:id="rId53"/>
    <hyperlink xmlns:r="http://schemas.openxmlformats.org/officeDocument/2006/relationships" ref="H58" r:id="rId54"/>
    <hyperlink xmlns:r="http://schemas.openxmlformats.org/officeDocument/2006/relationships" ref="H59" r:id="rId55"/>
    <hyperlink xmlns:r="http://schemas.openxmlformats.org/officeDocument/2006/relationships" ref="H60" r:id="rId56"/>
    <hyperlink xmlns:r="http://schemas.openxmlformats.org/officeDocument/2006/relationships" ref="H61" r:id="rId57"/>
    <hyperlink xmlns:r="http://schemas.openxmlformats.org/officeDocument/2006/relationships" ref="H62" r:id="rId58"/>
    <hyperlink xmlns:r="http://schemas.openxmlformats.org/officeDocument/2006/relationships" ref="H63" r:id="rId59"/>
    <hyperlink xmlns:r="http://schemas.openxmlformats.org/officeDocument/2006/relationships" ref="H64" r:id="rId60"/>
    <hyperlink xmlns:r="http://schemas.openxmlformats.org/officeDocument/2006/relationships" ref="H65" r:id="rId61"/>
    <hyperlink xmlns:r="http://schemas.openxmlformats.org/officeDocument/2006/relationships" ref="H66" r:id="rId62"/>
    <hyperlink xmlns:r="http://schemas.openxmlformats.org/officeDocument/2006/relationships" ref="H67" r:id="rId63"/>
    <hyperlink xmlns:r="http://schemas.openxmlformats.org/officeDocument/2006/relationships" ref="H68" r:id="rId64"/>
    <hyperlink xmlns:r="http://schemas.openxmlformats.org/officeDocument/2006/relationships" ref="H69" r:id="rId65"/>
    <hyperlink xmlns:r="http://schemas.openxmlformats.org/officeDocument/2006/relationships" ref="H70" r:id="rId66"/>
    <hyperlink xmlns:r="http://schemas.openxmlformats.org/officeDocument/2006/relationships" ref="H71" r:id="rId67"/>
    <hyperlink xmlns:r="http://schemas.openxmlformats.org/officeDocument/2006/relationships" ref="H72" r:id="rId68"/>
    <hyperlink xmlns:r="http://schemas.openxmlformats.org/officeDocument/2006/relationships" ref="H73" r:id="rId69"/>
    <hyperlink xmlns:r="http://schemas.openxmlformats.org/officeDocument/2006/relationships" ref="H74" r:id="rId70"/>
    <hyperlink xmlns:r="http://schemas.openxmlformats.org/officeDocument/2006/relationships" ref="H75" r:id="rId71"/>
    <hyperlink xmlns:r="http://schemas.openxmlformats.org/officeDocument/2006/relationships" ref="H76" r:id="rId72"/>
    <hyperlink xmlns:r="http://schemas.openxmlformats.org/officeDocument/2006/relationships" ref="H77" r:id="rId73"/>
    <hyperlink xmlns:r="http://schemas.openxmlformats.org/officeDocument/2006/relationships" ref="H78" r:id="rId74"/>
    <hyperlink xmlns:r="http://schemas.openxmlformats.org/officeDocument/2006/relationships" ref="H79" r:id="rId75"/>
    <hyperlink xmlns:r="http://schemas.openxmlformats.org/officeDocument/2006/relationships" ref="H80" r:id="rId76"/>
    <hyperlink xmlns:r="http://schemas.openxmlformats.org/officeDocument/2006/relationships" ref="H81" r:id="rId77"/>
    <hyperlink xmlns:r="http://schemas.openxmlformats.org/officeDocument/2006/relationships" ref="H82" r:id="rId78"/>
    <hyperlink xmlns:r="http://schemas.openxmlformats.org/officeDocument/2006/relationships" ref="H83" r:id="rId79"/>
    <hyperlink xmlns:r="http://schemas.openxmlformats.org/officeDocument/2006/relationships" ref="H84" r:id="rId80"/>
    <hyperlink xmlns:r="http://schemas.openxmlformats.org/officeDocument/2006/relationships" ref="H85" r:id="rId81"/>
    <hyperlink xmlns:r="http://schemas.openxmlformats.org/officeDocument/2006/relationships" ref="H86" r:id="rId82"/>
    <hyperlink xmlns:r="http://schemas.openxmlformats.org/officeDocument/2006/relationships" ref="H87" r:id="rId83"/>
    <hyperlink xmlns:r="http://schemas.openxmlformats.org/officeDocument/2006/relationships" ref="H88" r:id="rId84"/>
    <hyperlink xmlns:r="http://schemas.openxmlformats.org/officeDocument/2006/relationships" ref="H89" r:id="rId85"/>
    <hyperlink xmlns:r="http://schemas.openxmlformats.org/officeDocument/2006/relationships" ref="H90" r:id="rId86"/>
    <hyperlink xmlns:r="http://schemas.openxmlformats.org/officeDocument/2006/relationships" ref="H91" r:id="rId87"/>
    <hyperlink xmlns:r="http://schemas.openxmlformats.org/officeDocument/2006/relationships" ref="H92" r:id="rId88"/>
    <hyperlink xmlns:r="http://schemas.openxmlformats.org/officeDocument/2006/relationships" ref="H93" r:id="rId89"/>
    <hyperlink xmlns:r="http://schemas.openxmlformats.org/officeDocument/2006/relationships" ref="H94" r:id="rId90"/>
    <hyperlink xmlns:r="http://schemas.openxmlformats.org/officeDocument/2006/relationships" ref="H95" r:id="rId91"/>
    <hyperlink xmlns:r="http://schemas.openxmlformats.org/officeDocument/2006/relationships" ref="H96" r:id="rId92"/>
    <hyperlink xmlns:r="http://schemas.openxmlformats.org/officeDocument/2006/relationships" ref="H97" r:id="rId93"/>
    <hyperlink xmlns:r="http://schemas.openxmlformats.org/officeDocument/2006/relationships" ref="H98" r:id="rId94"/>
    <hyperlink xmlns:r="http://schemas.openxmlformats.org/officeDocument/2006/relationships" ref="H99" r:id="rId95"/>
    <hyperlink xmlns:r="http://schemas.openxmlformats.org/officeDocument/2006/relationships" ref="H100" r:id="rId96"/>
    <hyperlink xmlns:r="http://schemas.openxmlformats.org/officeDocument/2006/relationships" ref="H101" r:id="rId97"/>
    <hyperlink xmlns:r="http://schemas.openxmlformats.org/officeDocument/2006/relationships" ref="H102" r:id="rId98"/>
    <hyperlink xmlns:r="http://schemas.openxmlformats.org/officeDocument/2006/relationships" ref="H103" r:id="rId99"/>
    <hyperlink xmlns:r="http://schemas.openxmlformats.org/officeDocument/2006/relationships" ref="H104" r:id="rId100"/>
    <hyperlink xmlns:r="http://schemas.openxmlformats.org/officeDocument/2006/relationships" ref="H105" r:id="rId101"/>
    <hyperlink xmlns:r="http://schemas.openxmlformats.org/officeDocument/2006/relationships" ref="H106" r:id="rId102"/>
    <hyperlink xmlns:r="http://schemas.openxmlformats.org/officeDocument/2006/relationships" ref="H107" r:id="rId103"/>
    <hyperlink xmlns:r="http://schemas.openxmlformats.org/officeDocument/2006/relationships" ref="H108" r:id="rId104"/>
    <hyperlink xmlns:r="http://schemas.openxmlformats.org/officeDocument/2006/relationships" ref="H109" r:id="rId105"/>
    <hyperlink xmlns:r="http://schemas.openxmlformats.org/officeDocument/2006/relationships" ref="H110" r:id="rId106"/>
    <hyperlink xmlns:r="http://schemas.openxmlformats.org/officeDocument/2006/relationships" ref="H111" r:id="rId107"/>
    <hyperlink xmlns:r="http://schemas.openxmlformats.org/officeDocument/2006/relationships" ref="H112" r:id="rId108"/>
    <hyperlink xmlns:r="http://schemas.openxmlformats.org/officeDocument/2006/relationships" ref="H113" r:id="rId109"/>
    <hyperlink xmlns:r="http://schemas.openxmlformats.org/officeDocument/2006/relationships" ref="H114" r:id="rId110"/>
    <hyperlink xmlns:r="http://schemas.openxmlformats.org/officeDocument/2006/relationships" ref="H115" r:id="rId111"/>
    <hyperlink xmlns:r="http://schemas.openxmlformats.org/officeDocument/2006/relationships" ref="H116" r:id="rId112"/>
    <hyperlink xmlns:r="http://schemas.openxmlformats.org/officeDocument/2006/relationships" ref="H117" r:id="rId113"/>
    <hyperlink xmlns:r="http://schemas.openxmlformats.org/officeDocument/2006/relationships" ref="H118" r:id="rId114"/>
    <hyperlink xmlns:r="http://schemas.openxmlformats.org/officeDocument/2006/relationships" ref="H119" r:id="rId115"/>
    <hyperlink xmlns:r="http://schemas.openxmlformats.org/officeDocument/2006/relationships" ref="H120" r:id="rId116"/>
    <hyperlink xmlns:r="http://schemas.openxmlformats.org/officeDocument/2006/relationships" ref="H121" r:id="rId117"/>
    <hyperlink xmlns:r="http://schemas.openxmlformats.org/officeDocument/2006/relationships" ref="H122" r:id="rId118"/>
    <hyperlink xmlns:r="http://schemas.openxmlformats.org/officeDocument/2006/relationships" ref="H123" r:id="rId119"/>
    <hyperlink xmlns:r="http://schemas.openxmlformats.org/officeDocument/2006/relationships" ref="H124" r:id="rId120"/>
    <hyperlink xmlns:r="http://schemas.openxmlformats.org/officeDocument/2006/relationships" ref="H125" r:id="rId121"/>
    <hyperlink xmlns:r="http://schemas.openxmlformats.org/officeDocument/2006/relationships" ref="H126" r:id="rId122"/>
    <hyperlink xmlns:r="http://schemas.openxmlformats.org/officeDocument/2006/relationships" ref="H127" r:id="rId123"/>
    <hyperlink xmlns:r="http://schemas.openxmlformats.org/officeDocument/2006/relationships" ref="H128" r:id="rId124"/>
    <hyperlink xmlns:r="http://schemas.openxmlformats.org/officeDocument/2006/relationships" ref="H129" r:id="rId125"/>
    <hyperlink xmlns:r="http://schemas.openxmlformats.org/officeDocument/2006/relationships" ref="H130" r:id="rId126"/>
    <hyperlink xmlns:r="http://schemas.openxmlformats.org/officeDocument/2006/relationships" ref="H131" r:id="rId127"/>
    <hyperlink xmlns:r="http://schemas.openxmlformats.org/officeDocument/2006/relationships" ref="H132" r:id="rId128"/>
    <hyperlink xmlns:r="http://schemas.openxmlformats.org/officeDocument/2006/relationships" ref="H133" r:id="rId129"/>
    <hyperlink xmlns:r="http://schemas.openxmlformats.org/officeDocument/2006/relationships" ref="H134" r:id="rId130"/>
    <hyperlink xmlns:r="http://schemas.openxmlformats.org/officeDocument/2006/relationships" ref="H135" r:id="rId131"/>
    <hyperlink xmlns:r="http://schemas.openxmlformats.org/officeDocument/2006/relationships" ref="H136" r:id="rId132"/>
    <hyperlink xmlns:r="http://schemas.openxmlformats.org/officeDocument/2006/relationships" ref="H137" r:id="rId133"/>
    <hyperlink xmlns:r="http://schemas.openxmlformats.org/officeDocument/2006/relationships" ref="H138" r:id="rId134"/>
    <hyperlink xmlns:r="http://schemas.openxmlformats.org/officeDocument/2006/relationships" ref="H139" r:id="rId135"/>
    <hyperlink xmlns:r="http://schemas.openxmlformats.org/officeDocument/2006/relationships" ref="H140" r:id="rId136"/>
    <hyperlink xmlns:r="http://schemas.openxmlformats.org/officeDocument/2006/relationships" ref="H141" r:id="rId137"/>
    <hyperlink xmlns:r="http://schemas.openxmlformats.org/officeDocument/2006/relationships" ref="H142" r:id="rId138"/>
    <hyperlink xmlns:r="http://schemas.openxmlformats.org/officeDocument/2006/relationships" ref="H143" r:id="rId139"/>
    <hyperlink xmlns:r="http://schemas.openxmlformats.org/officeDocument/2006/relationships" ref="H144" r:id="rId140"/>
    <hyperlink xmlns:r="http://schemas.openxmlformats.org/officeDocument/2006/relationships" ref="H145" r:id="rId141"/>
    <hyperlink xmlns:r="http://schemas.openxmlformats.org/officeDocument/2006/relationships" ref="H146" r:id="rId142"/>
    <hyperlink xmlns:r="http://schemas.openxmlformats.org/officeDocument/2006/relationships" ref="H147" r:id="rId143"/>
    <hyperlink xmlns:r="http://schemas.openxmlformats.org/officeDocument/2006/relationships" ref="H148" r:id="rId144"/>
    <hyperlink xmlns:r="http://schemas.openxmlformats.org/officeDocument/2006/relationships" ref="H149" r:id="rId145"/>
    <hyperlink xmlns:r="http://schemas.openxmlformats.org/officeDocument/2006/relationships" ref="H150" r:id="rId146"/>
    <hyperlink xmlns:r="http://schemas.openxmlformats.org/officeDocument/2006/relationships" ref="H151" r:id="rId147"/>
    <hyperlink xmlns:r="http://schemas.openxmlformats.org/officeDocument/2006/relationships" ref="H152" r:id="rId148"/>
    <hyperlink xmlns:r="http://schemas.openxmlformats.org/officeDocument/2006/relationships" ref="H153" r:id="rId149"/>
    <hyperlink xmlns:r="http://schemas.openxmlformats.org/officeDocument/2006/relationships" ref="H154" r:id="rId150"/>
    <hyperlink xmlns:r="http://schemas.openxmlformats.org/officeDocument/2006/relationships" ref="H155" r:id="rId151"/>
    <hyperlink xmlns:r="http://schemas.openxmlformats.org/officeDocument/2006/relationships" ref="H156" r:id="rId152"/>
    <hyperlink xmlns:r="http://schemas.openxmlformats.org/officeDocument/2006/relationships" ref="H157" r:id="rId153"/>
    <hyperlink xmlns:r="http://schemas.openxmlformats.org/officeDocument/2006/relationships" ref="H158" r:id="rId154"/>
    <hyperlink xmlns:r="http://schemas.openxmlformats.org/officeDocument/2006/relationships" ref="H159" r:id="rId155"/>
    <hyperlink xmlns:r="http://schemas.openxmlformats.org/officeDocument/2006/relationships" ref="H160" r:id="rId156"/>
    <hyperlink xmlns:r="http://schemas.openxmlformats.org/officeDocument/2006/relationships" ref="H161" r:id="rId157"/>
    <hyperlink xmlns:r="http://schemas.openxmlformats.org/officeDocument/2006/relationships" ref="H162" r:id="rId158"/>
    <hyperlink xmlns:r="http://schemas.openxmlformats.org/officeDocument/2006/relationships" ref="H163" r:id="rId159"/>
    <hyperlink xmlns:r="http://schemas.openxmlformats.org/officeDocument/2006/relationships" ref="H164" r:id="rId160"/>
    <hyperlink xmlns:r="http://schemas.openxmlformats.org/officeDocument/2006/relationships" ref="H165" r:id="rId161"/>
    <hyperlink xmlns:r="http://schemas.openxmlformats.org/officeDocument/2006/relationships" ref="H166" r:id="rId162"/>
    <hyperlink xmlns:r="http://schemas.openxmlformats.org/officeDocument/2006/relationships" ref="H167" r:id="rId163"/>
    <hyperlink xmlns:r="http://schemas.openxmlformats.org/officeDocument/2006/relationships" ref="H168" r:id="rId164"/>
    <hyperlink xmlns:r="http://schemas.openxmlformats.org/officeDocument/2006/relationships" ref="H169" r:id="rId165"/>
    <hyperlink xmlns:r="http://schemas.openxmlformats.org/officeDocument/2006/relationships" ref="H170" r:id="rId166"/>
    <hyperlink xmlns:r="http://schemas.openxmlformats.org/officeDocument/2006/relationships" ref="H171" r:id="rId167"/>
    <hyperlink xmlns:r="http://schemas.openxmlformats.org/officeDocument/2006/relationships" ref="H172" r:id="rId168"/>
    <hyperlink xmlns:r="http://schemas.openxmlformats.org/officeDocument/2006/relationships" ref="H173" r:id="rId169"/>
    <hyperlink xmlns:r="http://schemas.openxmlformats.org/officeDocument/2006/relationships" ref="H174" r:id="rId170"/>
    <hyperlink xmlns:r="http://schemas.openxmlformats.org/officeDocument/2006/relationships" ref="H175" r:id="rId171"/>
    <hyperlink xmlns:r="http://schemas.openxmlformats.org/officeDocument/2006/relationships" ref="H176" r:id="rId172"/>
    <hyperlink xmlns:r="http://schemas.openxmlformats.org/officeDocument/2006/relationships" ref="H177" r:id="rId173"/>
    <hyperlink xmlns:r="http://schemas.openxmlformats.org/officeDocument/2006/relationships" ref="H178" r:id="rId174"/>
    <hyperlink xmlns:r="http://schemas.openxmlformats.org/officeDocument/2006/relationships" ref="H179" r:id="rId175"/>
    <hyperlink xmlns:r="http://schemas.openxmlformats.org/officeDocument/2006/relationships" ref="H180" r:id="rId176"/>
    <hyperlink xmlns:r="http://schemas.openxmlformats.org/officeDocument/2006/relationships" ref="H181" r:id="rId177"/>
    <hyperlink xmlns:r="http://schemas.openxmlformats.org/officeDocument/2006/relationships" ref="H182" r:id="rId178"/>
    <hyperlink xmlns:r="http://schemas.openxmlformats.org/officeDocument/2006/relationships" ref="H183" r:id="rId179"/>
    <hyperlink xmlns:r="http://schemas.openxmlformats.org/officeDocument/2006/relationships" ref="H184" r:id="rId180"/>
    <hyperlink xmlns:r="http://schemas.openxmlformats.org/officeDocument/2006/relationships" ref="H185" r:id="rId181"/>
    <hyperlink xmlns:r="http://schemas.openxmlformats.org/officeDocument/2006/relationships" ref="H186" r:id="rId182"/>
    <hyperlink xmlns:r="http://schemas.openxmlformats.org/officeDocument/2006/relationships" ref="H187" r:id="rId183"/>
    <hyperlink xmlns:r="http://schemas.openxmlformats.org/officeDocument/2006/relationships" ref="H188" r:id="rId184"/>
    <hyperlink xmlns:r="http://schemas.openxmlformats.org/officeDocument/2006/relationships" ref="H189" r:id="rId185"/>
    <hyperlink xmlns:r="http://schemas.openxmlformats.org/officeDocument/2006/relationships" ref="H190" r:id="rId186"/>
    <hyperlink xmlns:r="http://schemas.openxmlformats.org/officeDocument/2006/relationships" ref="H191" r:id="rId187"/>
    <hyperlink xmlns:r="http://schemas.openxmlformats.org/officeDocument/2006/relationships" ref="H192" r:id="rId188"/>
    <hyperlink xmlns:r="http://schemas.openxmlformats.org/officeDocument/2006/relationships" ref="H193" r:id="rId189"/>
    <hyperlink xmlns:r="http://schemas.openxmlformats.org/officeDocument/2006/relationships" ref="H194" r:id="rId190"/>
    <hyperlink xmlns:r="http://schemas.openxmlformats.org/officeDocument/2006/relationships" ref="H195" r:id="rId191"/>
    <hyperlink xmlns:r="http://schemas.openxmlformats.org/officeDocument/2006/relationships" ref="H196" r:id="rId192"/>
    <hyperlink xmlns:r="http://schemas.openxmlformats.org/officeDocument/2006/relationships" ref="H197" r:id="rId193"/>
    <hyperlink xmlns:r="http://schemas.openxmlformats.org/officeDocument/2006/relationships" ref="H198" r:id="rId194"/>
    <hyperlink xmlns:r="http://schemas.openxmlformats.org/officeDocument/2006/relationships" ref="H199" r:id="rId195"/>
    <hyperlink xmlns:r="http://schemas.openxmlformats.org/officeDocument/2006/relationships" ref="H200" r:id="rId196"/>
    <hyperlink xmlns:r="http://schemas.openxmlformats.org/officeDocument/2006/relationships" ref="H201" r:id="rId197"/>
    <hyperlink xmlns:r="http://schemas.openxmlformats.org/officeDocument/2006/relationships" ref="H202" r:id="rId198"/>
    <hyperlink xmlns:r="http://schemas.openxmlformats.org/officeDocument/2006/relationships" ref="H203" r:id="rId199"/>
    <hyperlink xmlns:r="http://schemas.openxmlformats.org/officeDocument/2006/relationships" ref="H204" r:id="rId200"/>
    <hyperlink xmlns:r="http://schemas.openxmlformats.org/officeDocument/2006/relationships" ref="H205" r:id="rId201"/>
    <hyperlink xmlns:r="http://schemas.openxmlformats.org/officeDocument/2006/relationships" ref="H206" r:id="rId202"/>
    <hyperlink xmlns:r="http://schemas.openxmlformats.org/officeDocument/2006/relationships" ref="H207" r:id="rId203"/>
    <hyperlink xmlns:r="http://schemas.openxmlformats.org/officeDocument/2006/relationships" ref="H208" r:id="rId204"/>
    <hyperlink xmlns:r="http://schemas.openxmlformats.org/officeDocument/2006/relationships" ref="H209" r:id="rId205"/>
    <hyperlink xmlns:r="http://schemas.openxmlformats.org/officeDocument/2006/relationships" ref="H210" r:id="rId206"/>
    <hyperlink xmlns:r="http://schemas.openxmlformats.org/officeDocument/2006/relationships" ref="H211" r:id="rId207"/>
    <hyperlink xmlns:r="http://schemas.openxmlformats.org/officeDocument/2006/relationships" ref="H212" r:id="rId208"/>
    <hyperlink xmlns:r="http://schemas.openxmlformats.org/officeDocument/2006/relationships" ref="H213" r:id="rId209"/>
    <hyperlink xmlns:r="http://schemas.openxmlformats.org/officeDocument/2006/relationships" ref="H214" r:id="rId210"/>
    <hyperlink xmlns:r="http://schemas.openxmlformats.org/officeDocument/2006/relationships" ref="H215" r:id="rId211"/>
    <hyperlink xmlns:r="http://schemas.openxmlformats.org/officeDocument/2006/relationships" ref="H216" r:id="rId212"/>
    <hyperlink xmlns:r="http://schemas.openxmlformats.org/officeDocument/2006/relationships" ref="H217" r:id="rId213"/>
    <hyperlink xmlns:r="http://schemas.openxmlformats.org/officeDocument/2006/relationships" ref="H218" r:id="rId214"/>
    <hyperlink xmlns:r="http://schemas.openxmlformats.org/officeDocument/2006/relationships" ref="H219" r:id="rId215"/>
    <hyperlink xmlns:r="http://schemas.openxmlformats.org/officeDocument/2006/relationships" ref="H220" r:id="rId216"/>
    <hyperlink xmlns:r="http://schemas.openxmlformats.org/officeDocument/2006/relationships" ref="H221" r:id="rId217"/>
    <hyperlink xmlns:r="http://schemas.openxmlformats.org/officeDocument/2006/relationships" ref="H222" r:id="rId218"/>
    <hyperlink xmlns:r="http://schemas.openxmlformats.org/officeDocument/2006/relationships" ref="H223" r:id="rId219"/>
    <hyperlink xmlns:r="http://schemas.openxmlformats.org/officeDocument/2006/relationships" ref="H224" r:id="rId220"/>
    <hyperlink xmlns:r="http://schemas.openxmlformats.org/officeDocument/2006/relationships" ref="H225" r:id="rId221"/>
    <hyperlink xmlns:r="http://schemas.openxmlformats.org/officeDocument/2006/relationships" ref="H226" r:id="rId222"/>
    <hyperlink xmlns:r="http://schemas.openxmlformats.org/officeDocument/2006/relationships" ref="H227" r:id="rId223"/>
    <hyperlink xmlns:r="http://schemas.openxmlformats.org/officeDocument/2006/relationships" ref="H228" r:id="rId224"/>
    <hyperlink xmlns:r="http://schemas.openxmlformats.org/officeDocument/2006/relationships" ref="H229" r:id="rId225"/>
    <hyperlink xmlns:r="http://schemas.openxmlformats.org/officeDocument/2006/relationships" ref="H230" r:id="rId226"/>
    <hyperlink xmlns:r="http://schemas.openxmlformats.org/officeDocument/2006/relationships" ref="H231" r:id="rId227"/>
    <hyperlink xmlns:r="http://schemas.openxmlformats.org/officeDocument/2006/relationships" ref="H232" r:id="rId228"/>
    <hyperlink xmlns:r="http://schemas.openxmlformats.org/officeDocument/2006/relationships" ref="H233" r:id="rId229"/>
    <hyperlink xmlns:r="http://schemas.openxmlformats.org/officeDocument/2006/relationships" ref="H234" r:id="rId230"/>
    <hyperlink xmlns:r="http://schemas.openxmlformats.org/officeDocument/2006/relationships" ref="H235" r:id="rId231"/>
    <hyperlink xmlns:r="http://schemas.openxmlformats.org/officeDocument/2006/relationships" ref="H236" r:id="rId232"/>
    <hyperlink xmlns:r="http://schemas.openxmlformats.org/officeDocument/2006/relationships" ref="H237" r:id="rId233"/>
    <hyperlink xmlns:r="http://schemas.openxmlformats.org/officeDocument/2006/relationships" ref="H238" r:id="rId234"/>
    <hyperlink xmlns:r="http://schemas.openxmlformats.org/officeDocument/2006/relationships" ref="H239" r:id="rId235"/>
    <hyperlink xmlns:r="http://schemas.openxmlformats.org/officeDocument/2006/relationships" ref="H240" r:id="rId236"/>
    <hyperlink xmlns:r="http://schemas.openxmlformats.org/officeDocument/2006/relationships" ref="H241" r:id="rId237"/>
    <hyperlink xmlns:r="http://schemas.openxmlformats.org/officeDocument/2006/relationships" ref="H242" r:id="rId238"/>
    <hyperlink xmlns:r="http://schemas.openxmlformats.org/officeDocument/2006/relationships" ref="H243" r:id="rId239"/>
    <hyperlink xmlns:r="http://schemas.openxmlformats.org/officeDocument/2006/relationships" ref="H244" r:id="rId240"/>
    <hyperlink xmlns:r="http://schemas.openxmlformats.org/officeDocument/2006/relationships" ref="H245" r:id="rId241"/>
    <hyperlink xmlns:r="http://schemas.openxmlformats.org/officeDocument/2006/relationships" ref="H246" r:id="rId242"/>
    <hyperlink xmlns:r="http://schemas.openxmlformats.org/officeDocument/2006/relationships" ref="H247" r:id="rId243"/>
    <hyperlink xmlns:r="http://schemas.openxmlformats.org/officeDocument/2006/relationships" ref="H248" r:id="rId244"/>
    <hyperlink xmlns:r="http://schemas.openxmlformats.org/officeDocument/2006/relationships" ref="H249" r:id="rId245"/>
    <hyperlink xmlns:r="http://schemas.openxmlformats.org/officeDocument/2006/relationships" ref="H250" r:id="rId246"/>
    <hyperlink xmlns:r="http://schemas.openxmlformats.org/officeDocument/2006/relationships" ref="H251" r:id="rId247"/>
    <hyperlink xmlns:r="http://schemas.openxmlformats.org/officeDocument/2006/relationships" ref="H252" r:id="rId248"/>
    <hyperlink xmlns:r="http://schemas.openxmlformats.org/officeDocument/2006/relationships" ref="H253" r:id="rId249"/>
    <hyperlink xmlns:r="http://schemas.openxmlformats.org/officeDocument/2006/relationships" ref="H254" r:id="rId250"/>
    <hyperlink xmlns:r="http://schemas.openxmlformats.org/officeDocument/2006/relationships" ref="H255" r:id="rId251"/>
    <hyperlink xmlns:r="http://schemas.openxmlformats.org/officeDocument/2006/relationships" ref="H256" r:id="rId252"/>
    <hyperlink xmlns:r="http://schemas.openxmlformats.org/officeDocument/2006/relationships" ref="H257" r:id="rId253"/>
    <hyperlink xmlns:r="http://schemas.openxmlformats.org/officeDocument/2006/relationships" ref="H258" r:id="rId254"/>
    <hyperlink xmlns:r="http://schemas.openxmlformats.org/officeDocument/2006/relationships" ref="H259" r:id="rId255"/>
    <hyperlink xmlns:r="http://schemas.openxmlformats.org/officeDocument/2006/relationships" ref="H260" r:id="rId256"/>
    <hyperlink xmlns:r="http://schemas.openxmlformats.org/officeDocument/2006/relationships" ref="H261" r:id="rId257"/>
    <hyperlink xmlns:r="http://schemas.openxmlformats.org/officeDocument/2006/relationships" ref="H262" r:id="rId258"/>
    <hyperlink xmlns:r="http://schemas.openxmlformats.org/officeDocument/2006/relationships" ref="H263" r:id="rId259"/>
    <hyperlink xmlns:r="http://schemas.openxmlformats.org/officeDocument/2006/relationships" ref="H264" r:id="rId260"/>
    <hyperlink xmlns:r="http://schemas.openxmlformats.org/officeDocument/2006/relationships" ref="H265" r:id="rId261"/>
    <hyperlink xmlns:r="http://schemas.openxmlformats.org/officeDocument/2006/relationships" ref="H266" r:id="rId262"/>
    <hyperlink xmlns:r="http://schemas.openxmlformats.org/officeDocument/2006/relationships" ref="H267" r:id="rId263"/>
    <hyperlink xmlns:r="http://schemas.openxmlformats.org/officeDocument/2006/relationships" ref="H268" r:id="rId264"/>
    <hyperlink xmlns:r="http://schemas.openxmlformats.org/officeDocument/2006/relationships" ref="H269" r:id="rId265"/>
    <hyperlink xmlns:r="http://schemas.openxmlformats.org/officeDocument/2006/relationships" ref="H270" r:id="rId266"/>
    <hyperlink xmlns:r="http://schemas.openxmlformats.org/officeDocument/2006/relationships" ref="H271" r:id="rId267"/>
    <hyperlink xmlns:r="http://schemas.openxmlformats.org/officeDocument/2006/relationships" ref="H272" r:id="rId268"/>
    <hyperlink xmlns:r="http://schemas.openxmlformats.org/officeDocument/2006/relationships" ref="H273" r:id="rId269"/>
    <hyperlink xmlns:r="http://schemas.openxmlformats.org/officeDocument/2006/relationships" ref="H274" r:id="rId270"/>
    <hyperlink xmlns:r="http://schemas.openxmlformats.org/officeDocument/2006/relationships" ref="H275" r:id="rId271"/>
    <hyperlink xmlns:r="http://schemas.openxmlformats.org/officeDocument/2006/relationships" ref="H276" r:id="rId272"/>
    <hyperlink xmlns:r="http://schemas.openxmlformats.org/officeDocument/2006/relationships" ref="H277" r:id="rId273"/>
    <hyperlink xmlns:r="http://schemas.openxmlformats.org/officeDocument/2006/relationships" ref="H278" r:id="rId274"/>
    <hyperlink xmlns:r="http://schemas.openxmlformats.org/officeDocument/2006/relationships" ref="H279" r:id="rId275"/>
    <hyperlink xmlns:r="http://schemas.openxmlformats.org/officeDocument/2006/relationships" ref="H280" r:id="rId276"/>
    <hyperlink xmlns:r="http://schemas.openxmlformats.org/officeDocument/2006/relationships" ref="H281" r:id="rId277"/>
    <hyperlink xmlns:r="http://schemas.openxmlformats.org/officeDocument/2006/relationships" ref="H282" r:id="rId278"/>
    <hyperlink xmlns:r="http://schemas.openxmlformats.org/officeDocument/2006/relationships" ref="H283" r:id="rId279"/>
    <hyperlink xmlns:r="http://schemas.openxmlformats.org/officeDocument/2006/relationships" ref="H284" r:id="rId280"/>
    <hyperlink xmlns:r="http://schemas.openxmlformats.org/officeDocument/2006/relationships" ref="H285" r:id="rId281"/>
    <hyperlink xmlns:r="http://schemas.openxmlformats.org/officeDocument/2006/relationships" ref="H286" r:id="rId282"/>
    <hyperlink xmlns:r="http://schemas.openxmlformats.org/officeDocument/2006/relationships" ref="H287" r:id="rId283"/>
    <hyperlink xmlns:r="http://schemas.openxmlformats.org/officeDocument/2006/relationships" ref="H288" r:id="rId284"/>
    <hyperlink xmlns:r="http://schemas.openxmlformats.org/officeDocument/2006/relationships" ref="H289" r:id="rId285"/>
    <hyperlink xmlns:r="http://schemas.openxmlformats.org/officeDocument/2006/relationships" ref="H290" r:id="rId286"/>
    <hyperlink xmlns:r="http://schemas.openxmlformats.org/officeDocument/2006/relationships" ref="H291" r:id="rId287"/>
    <hyperlink xmlns:r="http://schemas.openxmlformats.org/officeDocument/2006/relationships" ref="H292" r:id="rId288"/>
    <hyperlink xmlns:r="http://schemas.openxmlformats.org/officeDocument/2006/relationships" ref="H293" r:id="rId289"/>
    <hyperlink xmlns:r="http://schemas.openxmlformats.org/officeDocument/2006/relationships" ref="H294" r:id="rId290"/>
    <hyperlink xmlns:r="http://schemas.openxmlformats.org/officeDocument/2006/relationships" ref="H295" r:id="rId291"/>
    <hyperlink xmlns:r="http://schemas.openxmlformats.org/officeDocument/2006/relationships" ref="H296" r:id="rId292"/>
    <hyperlink xmlns:r="http://schemas.openxmlformats.org/officeDocument/2006/relationships" ref="H297" r:id="rId293"/>
    <hyperlink xmlns:r="http://schemas.openxmlformats.org/officeDocument/2006/relationships" ref="H298" r:id="rId294"/>
    <hyperlink xmlns:r="http://schemas.openxmlformats.org/officeDocument/2006/relationships" ref="H299" r:id="rId295"/>
    <hyperlink xmlns:r="http://schemas.openxmlformats.org/officeDocument/2006/relationships" ref="H300" r:id="rId296"/>
    <hyperlink xmlns:r="http://schemas.openxmlformats.org/officeDocument/2006/relationships" ref="H301" r:id="rId297"/>
    <hyperlink xmlns:r="http://schemas.openxmlformats.org/officeDocument/2006/relationships" ref="H302" r:id="rId298"/>
    <hyperlink xmlns:r="http://schemas.openxmlformats.org/officeDocument/2006/relationships" ref="H303" r:id="rId299"/>
    <hyperlink xmlns:r="http://schemas.openxmlformats.org/officeDocument/2006/relationships" ref="H304" r:id="rId300"/>
    <hyperlink xmlns:r="http://schemas.openxmlformats.org/officeDocument/2006/relationships" ref="H305" r:id="rId301"/>
    <hyperlink xmlns:r="http://schemas.openxmlformats.org/officeDocument/2006/relationships" ref="H306" r:id="rId302"/>
    <hyperlink xmlns:r="http://schemas.openxmlformats.org/officeDocument/2006/relationships" ref="H307" r:id="rId303"/>
    <hyperlink xmlns:r="http://schemas.openxmlformats.org/officeDocument/2006/relationships" ref="H308" r:id="rId304"/>
    <hyperlink xmlns:r="http://schemas.openxmlformats.org/officeDocument/2006/relationships" ref="H309" r:id="rId305"/>
    <hyperlink xmlns:r="http://schemas.openxmlformats.org/officeDocument/2006/relationships" ref="H310" r:id="rId306"/>
    <hyperlink xmlns:r="http://schemas.openxmlformats.org/officeDocument/2006/relationships" ref="H311" r:id="rId307"/>
    <hyperlink xmlns:r="http://schemas.openxmlformats.org/officeDocument/2006/relationships" ref="H312" r:id="rId308"/>
    <hyperlink xmlns:r="http://schemas.openxmlformats.org/officeDocument/2006/relationships" ref="H313" r:id="rId309"/>
    <hyperlink xmlns:r="http://schemas.openxmlformats.org/officeDocument/2006/relationships" ref="H314" r:id="rId310"/>
    <hyperlink xmlns:r="http://schemas.openxmlformats.org/officeDocument/2006/relationships" ref="H315" r:id="rId311"/>
    <hyperlink xmlns:r="http://schemas.openxmlformats.org/officeDocument/2006/relationships" ref="H316" r:id="rId312"/>
    <hyperlink xmlns:r="http://schemas.openxmlformats.org/officeDocument/2006/relationships" ref="H317" r:id="rId313"/>
    <hyperlink xmlns:r="http://schemas.openxmlformats.org/officeDocument/2006/relationships" ref="H318" r:id="rId314"/>
    <hyperlink xmlns:r="http://schemas.openxmlformats.org/officeDocument/2006/relationships" ref="H319" r:id="rId315"/>
    <hyperlink xmlns:r="http://schemas.openxmlformats.org/officeDocument/2006/relationships" ref="H320" r:id="rId316"/>
    <hyperlink xmlns:r="http://schemas.openxmlformats.org/officeDocument/2006/relationships" ref="H321" r:id="rId317"/>
    <hyperlink xmlns:r="http://schemas.openxmlformats.org/officeDocument/2006/relationships" ref="H322" r:id="rId318"/>
    <hyperlink xmlns:r="http://schemas.openxmlformats.org/officeDocument/2006/relationships" ref="H323" r:id="rId319"/>
    <hyperlink xmlns:r="http://schemas.openxmlformats.org/officeDocument/2006/relationships" ref="H324" r:id="rId320"/>
    <hyperlink xmlns:r="http://schemas.openxmlformats.org/officeDocument/2006/relationships" ref="H325" r:id="rId321"/>
    <hyperlink xmlns:r="http://schemas.openxmlformats.org/officeDocument/2006/relationships" ref="H326" r:id="rId322"/>
    <hyperlink xmlns:r="http://schemas.openxmlformats.org/officeDocument/2006/relationships" ref="H327" r:id="rId323"/>
    <hyperlink xmlns:r="http://schemas.openxmlformats.org/officeDocument/2006/relationships" ref="H328" r:id="rId324"/>
    <hyperlink xmlns:r="http://schemas.openxmlformats.org/officeDocument/2006/relationships" ref="H329" r:id="rId325"/>
    <hyperlink xmlns:r="http://schemas.openxmlformats.org/officeDocument/2006/relationships" ref="H330" r:id="rId326"/>
    <hyperlink xmlns:r="http://schemas.openxmlformats.org/officeDocument/2006/relationships" ref="H331" r:id="rId327"/>
    <hyperlink xmlns:r="http://schemas.openxmlformats.org/officeDocument/2006/relationships" ref="H332" r:id="rId328"/>
    <hyperlink xmlns:r="http://schemas.openxmlformats.org/officeDocument/2006/relationships" ref="H333" r:id="rId329"/>
    <hyperlink xmlns:r="http://schemas.openxmlformats.org/officeDocument/2006/relationships" ref="H334" r:id="rId330"/>
    <hyperlink xmlns:r="http://schemas.openxmlformats.org/officeDocument/2006/relationships" ref="H335" r:id="rId331"/>
    <hyperlink xmlns:r="http://schemas.openxmlformats.org/officeDocument/2006/relationships" ref="H336" r:id="rId332"/>
    <hyperlink xmlns:r="http://schemas.openxmlformats.org/officeDocument/2006/relationships" ref="H337" r:id="rId333"/>
    <hyperlink xmlns:r="http://schemas.openxmlformats.org/officeDocument/2006/relationships" ref="H338" r:id="rId334"/>
    <hyperlink xmlns:r="http://schemas.openxmlformats.org/officeDocument/2006/relationships" ref="H339" r:id="rId335"/>
    <hyperlink xmlns:r="http://schemas.openxmlformats.org/officeDocument/2006/relationships" ref="H340" r:id="rId336"/>
    <hyperlink xmlns:r="http://schemas.openxmlformats.org/officeDocument/2006/relationships" ref="H341" r:id="rId337"/>
    <hyperlink xmlns:r="http://schemas.openxmlformats.org/officeDocument/2006/relationships" ref="H342" r:id="rId338"/>
    <hyperlink xmlns:r="http://schemas.openxmlformats.org/officeDocument/2006/relationships" ref="H343" r:id="rId339"/>
    <hyperlink xmlns:r="http://schemas.openxmlformats.org/officeDocument/2006/relationships" ref="H344" r:id="rId340"/>
    <hyperlink xmlns:r="http://schemas.openxmlformats.org/officeDocument/2006/relationships" ref="H345" r:id="rId341"/>
    <hyperlink xmlns:r="http://schemas.openxmlformats.org/officeDocument/2006/relationships" ref="H346" r:id="rId342"/>
    <hyperlink xmlns:r="http://schemas.openxmlformats.org/officeDocument/2006/relationships" ref="H347" r:id="rId343"/>
    <hyperlink xmlns:r="http://schemas.openxmlformats.org/officeDocument/2006/relationships" ref="H348" r:id="rId344"/>
    <hyperlink xmlns:r="http://schemas.openxmlformats.org/officeDocument/2006/relationships" ref="H349" r:id="rId345"/>
    <hyperlink xmlns:r="http://schemas.openxmlformats.org/officeDocument/2006/relationships" ref="H350" r:id="rId346"/>
    <hyperlink xmlns:r="http://schemas.openxmlformats.org/officeDocument/2006/relationships" ref="H351" r:id="rId347"/>
    <hyperlink xmlns:r="http://schemas.openxmlformats.org/officeDocument/2006/relationships" ref="H352" r:id="rId348"/>
    <hyperlink xmlns:r="http://schemas.openxmlformats.org/officeDocument/2006/relationships" ref="H353" r:id="rId349"/>
    <hyperlink xmlns:r="http://schemas.openxmlformats.org/officeDocument/2006/relationships" ref="H354" r:id="rId350"/>
    <hyperlink xmlns:r="http://schemas.openxmlformats.org/officeDocument/2006/relationships" ref="H355" r:id="rId351"/>
    <hyperlink xmlns:r="http://schemas.openxmlformats.org/officeDocument/2006/relationships" ref="H356" r:id="rId352"/>
    <hyperlink xmlns:r="http://schemas.openxmlformats.org/officeDocument/2006/relationships" ref="H357" r:id="rId353"/>
    <hyperlink xmlns:r="http://schemas.openxmlformats.org/officeDocument/2006/relationships" ref="H358" r:id="rId354"/>
    <hyperlink xmlns:r="http://schemas.openxmlformats.org/officeDocument/2006/relationships" ref="H359" r:id="rId355"/>
    <hyperlink xmlns:r="http://schemas.openxmlformats.org/officeDocument/2006/relationships" ref="H360" r:id="rId356"/>
    <hyperlink xmlns:r="http://schemas.openxmlformats.org/officeDocument/2006/relationships" ref="H361" r:id="rId357"/>
    <hyperlink xmlns:r="http://schemas.openxmlformats.org/officeDocument/2006/relationships" ref="H362" r:id="rId358"/>
    <hyperlink xmlns:r="http://schemas.openxmlformats.org/officeDocument/2006/relationships" ref="H363" r:id="rId359"/>
    <hyperlink xmlns:r="http://schemas.openxmlformats.org/officeDocument/2006/relationships" ref="H364" r:id="rId360"/>
    <hyperlink xmlns:r="http://schemas.openxmlformats.org/officeDocument/2006/relationships" ref="H365" r:id="rId361"/>
    <hyperlink xmlns:r="http://schemas.openxmlformats.org/officeDocument/2006/relationships" ref="H366" r:id="rId362"/>
    <hyperlink xmlns:r="http://schemas.openxmlformats.org/officeDocument/2006/relationships" ref="H367" r:id="rId363"/>
    <hyperlink xmlns:r="http://schemas.openxmlformats.org/officeDocument/2006/relationships" ref="H368" r:id="rId364"/>
    <hyperlink xmlns:r="http://schemas.openxmlformats.org/officeDocument/2006/relationships" ref="H369" r:id="rId365"/>
    <hyperlink xmlns:r="http://schemas.openxmlformats.org/officeDocument/2006/relationships" ref="H370" r:id="rId366"/>
    <hyperlink xmlns:r="http://schemas.openxmlformats.org/officeDocument/2006/relationships" ref="H371" r:id="rId367"/>
    <hyperlink xmlns:r="http://schemas.openxmlformats.org/officeDocument/2006/relationships" ref="H372" r:id="rId368"/>
    <hyperlink xmlns:r="http://schemas.openxmlformats.org/officeDocument/2006/relationships" ref="H373" r:id="rId369"/>
    <hyperlink xmlns:r="http://schemas.openxmlformats.org/officeDocument/2006/relationships" ref="H374" r:id="rId370"/>
    <hyperlink xmlns:r="http://schemas.openxmlformats.org/officeDocument/2006/relationships" ref="H375" r:id="rId371"/>
    <hyperlink xmlns:r="http://schemas.openxmlformats.org/officeDocument/2006/relationships" ref="H376" r:id="rId372"/>
    <hyperlink xmlns:r="http://schemas.openxmlformats.org/officeDocument/2006/relationships" ref="H377" r:id="rId373"/>
    <hyperlink xmlns:r="http://schemas.openxmlformats.org/officeDocument/2006/relationships" ref="H378" r:id="rId374"/>
    <hyperlink xmlns:r="http://schemas.openxmlformats.org/officeDocument/2006/relationships" ref="H379" r:id="rId375"/>
    <hyperlink xmlns:r="http://schemas.openxmlformats.org/officeDocument/2006/relationships" ref="H380" r:id="rId376"/>
    <hyperlink xmlns:r="http://schemas.openxmlformats.org/officeDocument/2006/relationships" ref="H381" r:id="rId377"/>
    <hyperlink xmlns:r="http://schemas.openxmlformats.org/officeDocument/2006/relationships" ref="H382" r:id="rId378"/>
    <hyperlink xmlns:r="http://schemas.openxmlformats.org/officeDocument/2006/relationships" ref="H383" r:id="rId379"/>
    <hyperlink xmlns:r="http://schemas.openxmlformats.org/officeDocument/2006/relationships" ref="H384" r:id="rId380"/>
    <hyperlink xmlns:r="http://schemas.openxmlformats.org/officeDocument/2006/relationships" ref="H385" r:id="rId381"/>
    <hyperlink xmlns:r="http://schemas.openxmlformats.org/officeDocument/2006/relationships" ref="H386" r:id="rId382"/>
    <hyperlink xmlns:r="http://schemas.openxmlformats.org/officeDocument/2006/relationships" ref="H387" r:id="rId383"/>
    <hyperlink xmlns:r="http://schemas.openxmlformats.org/officeDocument/2006/relationships" ref="H388" r:id="rId384"/>
    <hyperlink xmlns:r="http://schemas.openxmlformats.org/officeDocument/2006/relationships" ref="H389" r:id="rId385"/>
    <hyperlink xmlns:r="http://schemas.openxmlformats.org/officeDocument/2006/relationships" ref="H390" r:id="rId386"/>
    <hyperlink xmlns:r="http://schemas.openxmlformats.org/officeDocument/2006/relationships" ref="H391" r:id="rId387"/>
    <hyperlink xmlns:r="http://schemas.openxmlformats.org/officeDocument/2006/relationships" ref="H392" r:id="rId388"/>
    <hyperlink xmlns:r="http://schemas.openxmlformats.org/officeDocument/2006/relationships" ref="H393" r:id="rId389"/>
    <hyperlink xmlns:r="http://schemas.openxmlformats.org/officeDocument/2006/relationships" ref="H394" r:id="rId390"/>
    <hyperlink xmlns:r="http://schemas.openxmlformats.org/officeDocument/2006/relationships" ref="H395" r:id="rId391"/>
    <hyperlink xmlns:r="http://schemas.openxmlformats.org/officeDocument/2006/relationships" ref="H396" r:id="rId392"/>
    <hyperlink xmlns:r="http://schemas.openxmlformats.org/officeDocument/2006/relationships" ref="H397" r:id="rId393"/>
    <hyperlink xmlns:r="http://schemas.openxmlformats.org/officeDocument/2006/relationships" ref="H398" r:id="rId394"/>
    <hyperlink xmlns:r="http://schemas.openxmlformats.org/officeDocument/2006/relationships" ref="H399" r:id="rId395"/>
    <hyperlink xmlns:r="http://schemas.openxmlformats.org/officeDocument/2006/relationships" ref="H400" r:id="rId396"/>
    <hyperlink xmlns:r="http://schemas.openxmlformats.org/officeDocument/2006/relationships" ref="H401" r:id="rId397"/>
    <hyperlink xmlns:r="http://schemas.openxmlformats.org/officeDocument/2006/relationships" ref="H402" r:id="rId398"/>
    <hyperlink xmlns:r="http://schemas.openxmlformats.org/officeDocument/2006/relationships" ref="H403" r:id="rId399"/>
    <hyperlink xmlns:r="http://schemas.openxmlformats.org/officeDocument/2006/relationships" ref="H404" r:id="rId400"/>
    <hyperlink xmlns:r="http://schemas.openxmlformats.org/officeDocument/2006/relationships" ref="H405" r:id="rId401"/>
    <hyperlink xmlns:r="http://schemas.openxmlformats.org/officeDocument/2006/relationships" ref="H406" r:id="rId402"/>
    <hyperlink xmlns:r="http://schemas.openxmlformats.org/officeDocument/2006/relationships" ref="H407" r:id="rId403"/>
    <hyperlink xmlns:r="http://schemas.openxmlformats.org/officeDocument/2006/relationships" ref="H408" r:id="rId404"/>
    <hyperlink xmlns:r="http://schemas.openxmlformats.org/officeDocument/2006/relationships" ref="H409" r:id="rId405"/>
    <hyperlink xmlns:r="http://schemas.openxmlformats.org/officeDocument/2006/relationships" ref="H410" r:id="rId406"/>
    <hyperlink xmlns:r="http://schemas.openxmlformats.org/officeDocument/2006/relationships" ref="H411" r:id="rId407"/>
    <hyperlink xmlns:r="http://schemas.openxmlformats.org/officeDocument/2006/relationships" ref="H412" r:id="rId408"/>
    <hyperlink xmlns:r="http://schemas.openxmlformats.org/officeDocument/2006/relationships" ref="H413" r:id="rId409"/>
    <hyperlink xmlns:r="http://schemas.openxmlformats.org/officeDocument/2006/relationships" ref="H414" r:id="rId410"/>
    <hyperlink xmlns:r="http://schemas.openxmlformats.org/officeDocument/2006/relationships" ref="H415" r:id="rId411"/>
    <hyperlink xmlns:r="http://schemas.openxmlformats.org/officeDocument/2006/relationships" ref="H416" r:id="rId412"/>
    <hyperlink xmlns:r="http://schemas.openxmlformats.org/officeDocument/2006/relationships" ref="H417" r:id="rId413"/>
    <hyperlink xmlns:r="http://schemas.openxmlformats.org/officeDocument/2006/relationships" ref="H418" r:id="rId414"/>
    <hyperlink xmlns:r="http://schemas.openxmlformats.org/officeDocument/2006/relationships" ref="H419" r:id="rId415"/>
    <hyperlink xmlns:r="http://schemas.openxmlformats.org/officeDocument/2006/relationships" ref="H420" r:id="rId416"/>
    <hyperlink xmlns:r="http://schemas.openxmlformats.org/officeDocument/2006/relationships" ref="H421" r:id="rId417"/>
    <hyperlink xmlns:r="http://schemas.openxmlformats.org/officeDocument/2006/relationships" ref="H422" r:id="rId418"/>
    <hyperlink xmlns:r="http://schemas.openxmlformats.org/officeDocument/2006/relationships" ref="H423" r:id="rId419"/>
    <hyperlink xmlns:r="http://schemas.openxmlformats.org/officeDocument/2006/relationships" ref="H424" r:id="rId420"/>
    <hyperlink xmlns:r="http://schemas.openxmlformats.org/officeDocument/2006/relationships" ref="H425" r:id="rId421"/>
    <hyperlink xmlns:r="http://schemas.openxmlformats.org/officeDocument/2006/relationships" ref="H426" r:id="rId422"/>
    <hyperlink xmlns:r="http://schemas.openxmlformats.org/officeDocument/2006/relationships" ref="H427" r:id="rId423"/>
    <hyperlink xmlns:r="http://schemas.openxmlformats.org/officeDocument/2006/relationships" ref="H428" r:id="rId424"/>
    <hyperlink xmlns:r="http://schemas.openxmlformats.org/officeDocument/2006/relationships" ref="H429" r:id="rId425"/>
    <hyperlink xmlns:r="http://schemas.openxmlformats.org/officeDocument/2006/relationships" ref="H430" r:id="rId426"/>
    <hyperlink xmlns:r="http://schemas.openxmlformats.org/officeDocument/2006/relationships" ref="H431" r:id="rId427"/>
    <hyperlink xmlns:r="http://schemas.openxmlformats.org/officeDocument/2006/relationships" ref="H432" r:id="rId428"/>
    <hyperlink xmlns:r="http://schemas.openxmlformats.org/officeDocument/2006/relationships" ref="H433" r:id="rId429"/>
    <hyperlink xmlns:r="http://schemas.openxmlformats.org/officeDocument/2006/relationships" ref="H434" r:id="rId430"/>
    <hyperlink xmlns:r="http://schemas.openxmlformats.org/officeDocument/2006/relationships" ref="H435" r:id="rId431"/>
    <hyperlink xmlns:r="http://schemas.openxmlformats.org/officeDocument/2006/relationships" ref="H436" r:id="rId432"/>
    <hyperlink xmlns:r="http://schemas.openxmlformats.org/officeDocument/2006/relationships" ref="H437" r:id="rId433"/>
    <hyperlink xmlns:r="http://schemas.openxmlformats.org/officeDocument/2006/relationships" ref="H438" r:id="rId434"/>
    <hyperlink xmlns:r="http://schemas.openxmlformats.org/officeDocument/2006/relationships" ref="H439" r:id="rId435"/>
    <hyperlink xmlns:r="http://schemas.openxmlformats.org/officeDocument/2006/relationships" ref="H440" r:id="rId436"/>
    <hyperlink xmlns:r="http://schemas.openxmlformats.org/officeDocument/2006/relationships" ref="H441" r:id="rId437"/>
    <hyperlink xmlns:r="http://schemas.openxmlformats.org/officeDocument/2006/relationships" ref="H442" r:id="rId438"/>
    <hyperlink xmlns:r="http://schemas.openxmlformats.org/officeDocument/2006/relationships" ref="H443" r:id="rId439"/>
    <hyperlink xmlns:r="http://schemas.openxmlformats.org/officeDocument/2006/relationships" ref="H444" r:id="rId440"/>
    <hyperlink xmlns:r="http://schemas.openxmlformats.org/officeDocument/2006/relationships" ref="H445" r:id="rId441"/>
    <hyperlink xmlns:r="http://schemas.openxmlformats.org/officeDocument/2006/relationships" ref="H446" r:id="rId442"/>
    <hyperlink xmlns:r="http://schemas.openxmlformats.org/officeDocument/2006/relationships" ref="H447" r:id="rId443"/>
    <hyperlink xmlns:r="http://schemas.openxmlformats.org/officeDocument/2006/relationships" ref="H448" r:id="rId444"/>
    <hyperlink xmlns:r="http://schemas.openxmlformats.org/officeDocument/2006/relationships" ref="H449" r:id="rId445"/>
    <hyperlink xmlns:r="http://schemas.openxmlformats.org/officeDocument/2006/relationships" ref="H450" r:id="rId446"/>
    <hyperlink xmlns:r="http://schemas.openxmlformats.org/officeDocument/2006/relationships" ref="H451" r:id="rId447"/>
    <hyperlink xmlns:r="http://schemas.openxmlformats.org/officeDocument/2006/relationships" ref="H452" r:id="rId448"/>
    <hyperlink xmlns:r="http://schemas.openxmlformats.org/officeDocument/2006/relationships" ref="H453" r:id="rId449"/>
    <hyperlink xmlns:r="http://schemas.openxmlformats.org/officeDocument/2006/relationships" ref="H454" r:id="rId450"/>
    <hyperlink xmlns:r="http://schemas.openxmlformats.org/officeDocument/2006/relationships" ref="H455" r:id="rId451"/>
    <hyperlink xmlns:r="http://schemas.openxmlformats.org/officeDocument/2006/relationships" ref="H456" r:id="rId452"/>
    <hyperlink xmlns:r="http://schemas.openxmlformats.org/officeDocument/2006/relationships" ref="H457" r:id="rId453"/>
    <hyperlink xmlns:r="http://schemas.openxmlformats.org/officeDocument/2006/relationships" ref="H458" r:id="rId454"/>
    <hyperlink xmlns:r="http://schemas.openxmlformats.org/officeDocument/2006/relationships" ref="H459" r:id="rId455"/>
    <hyperlink xmlns:r="http://schemas.openxmlformats.org/officeDocument/2006/relationships" ref="H460" r:id="rId456"/>
    <hyperlink xmlns:r="http://schemas.openxmlformats.org/officeDocument/2006/relationships" ref="H461" r:id="rId457"/>
    <hyperlink xmlns:r="http://schemas.openxmlformats.org/officeDocument/2006/relationships" ref="H462" r:id="rId458"/>
    <hyperlink xmlns:r="http://schemas.openxmlformats.org/officeDocument/2006/relationships" ref="H463" r:id="rId459"/>
    <hyperlink xmlns:r="http://schemas.openxmlformats.org/officeDocument/2006/relationships" ref="H464" r:id="rId460"/>
    <hyperlink xmlns:r="http://schemas.openxmlformats.org/officeDocument/2006/relationships" ref="H465" r:id="rId461"/>
    <hyperlink xmlns:r="http://schemas.openxmlformats.org/officeDocument/2006/relationships" ref="H466" r:id="rId462"/>
    <hyperlink xmlns:r="http://schemas.openxmlformats.org/officeDocument/2006/relationships" ref="H467" r:id="rId463"/>
    <hyperlink xmlns:r="http://schemas.openxmlformats.org/officeDocument/2006/relationships" ref="H468" r:id="rId464"/>
    <hyperlink xmlns:r="http://schemas.openxmlformats.org/officeDocument/2006/relationships" ref="H469" r:id="rId465"/>
    <hyperlink xmlns:r="http://schemas.openxmlformats.org/officeDocument/2006/relationships" ref="H470" r:id="rId466"/>
    <hyperlink xmlns:r="http://schemas.openxmlformats.org/officeDocument/2006/relationships" ref="H471" r:id="rId467"/>
    <hyperlink xmlns:r="http://schemas.openxmlformats.org/officeDocument/2006/relationships" ref="H472" r:id="rId468"/>
    <hyperlink xmlns:r="http://schemas.openxmlformats.org/officeDocument/2006/relationships" ref="H473" r:id="rId469"/>
    <hyperlink xmlns:r="http://schemas.openxmlformats.org/officeDocument/2006/relationships" ref="H474" r:id="rId470"/>
    <hyperlink xmlns:r="http://schemas.openxmlformats.org/officeDocument/2006/relationships" ref="H475" r:id="rId471"/>
    <hyperlink xmlns:r="http://schemas.openxmlformats.org/officeDocument/2006/relationships" ref="H476" r:id="rId472"/>
    <hyperlink xmlns:r="http://schemas.openxmlformats.org/officeDocument/2006/relationships" ref="H477" r:id="rId473"/>
    <hyperlink xmlns:r="http://schemas.openxmlformats.org/officeDocument/2006/relationships" ref="H478" r:id="rId474"/>
    <hyperlink xmlns:r="http://schemas.openxmlformats.org/officeDocument/2006/relationships" ref="H479" r:id="rId475"/>
    <hyperlink xmlns:r="http://schemas.openxmlformats.org/officeDocument/2006/relationships" ref="H480" r:id="rId476"/>
    <hyperlink xmlns:r="http://schemas.openxmlformats.org/officeDocument/2006/relationships" ref="H481" r:id="rId477"/>
    <hyperlink xmlns:r="http://schemas.openxmlformats.org/officeDocument/2006/relationships" ref="H482" r:id="rId478"/>
    <hyperlink xmlns:r="http://schemas.openxmlformats.org/officeDocument/2006/relationships" ref="H483" r:id="rId479"/>
    <hyperlink xmlns:r="http://schemas.openxmlformats.org/officeDocument/2006/relationships" ref="H484" r:id="rId480"/>
    <hyperlink xmlns:r="http://schemas.openxmlformats.org/officeDocument/2006/relationships" ref="H485" r:id="rId481"/>
    <hyperlink xmlns:r="http://schemas.openxmlformats.org/officeDocument/2006/relationships" ref="H486" r:id="rId482"/>
    <hyperlink xmlns:r="http://schemas.openxmlformats.org/officeDocument/2006/relationships" ref="H487" r:id="rId483"/>
    <hyperlink xmlns:r="http://schemas.openxmlformats.org/officeDocument/2006/relationships" ref="H488" r:id="rId484"/>
    <hyperlink xmlns:r="http://schemas.openxmlformats.org/officeDocument/2006/relationships" ref="H489" r:id="rId485"/>
    <hyperlink xmlns:r="http://schemas.openxmlformats.org/officeDocument/2006/relationships" ref="H490" r:id="rId486"/>
    <hyperlink xmlns:r="http://schemas.openxmlformats.org/officeDocument/2006/relationships" ref="H491" r:id="rId487"/>
    <hyperlink xmlns:r="http://schemas.openxmlformats.org/officeDocument/2006/relationships" ref="H492" r:id="rId488"/>
    <hyperlink xmlns:r="http://schemas.openxmlformats.org/officeDocument/2006/relationships" ref="H493" r:id="rId489"/>
    <hyperlink xmlns:r="http://schemas.openxmlformats.org/officeDocument/2006/relationships" ref="H494" r:id="rId490"/>
    <hyperlink xmlns:r="http://schemas.openxmlformats.org/officeDocument/2006/relationships" ref="H495" r:id="rId491"/>
    <hyperlink xmlns:r="http://schemas.openxmlformats.org/officeDocument/2006/relationships" ref="H496" r:id="rId492"/>
    <hyperlink xmlns:r="http://schemas.openxmlformats.org/officeDocument/2006/relationships" ref="H497" r:id="rId493"/>
    <hyperlink xmlns:r="http://schemas.openxmlformats.org/officeDocument/2006/relationships" ref="H498" r:id="rId494"/>
    <hyperlink xmlns:r="http://schemas.openxmlformats.org/officeDocument/2006/relationships" ref="H499" r:id="rId495"/>
    <hyperlink xmlns:r="http://schemas.openxmlformats.org/officeDocument/2006/relationships" ref="H500" r:id="rId496"/>
    <hyperlink xmlns:r="http://schemas.openxmlformats.org/officeDocument/2006/relationships" ref="H501" r:id="rId497"/>
    <hyperlink xmlns:r="http://schemas.openxmlformats.org/officeDocument/2006/relationships" ref="H502" r:id="rId498"/>
    <hyperlink xmlns:r="http://schemas.openxmlformats.org/officeDocument/2006/relationships" ref="H503" r:id="rId499"/>
    <hyperlink xmlns:r="http://schemas.openxmlformats.org/officeDocument/2006/relationships" ref="H504" r:id="rId500"/>
    <hyperlink xmlns:r="http://schemas.openxmlformats.org/officeDocument/2006/relationships" ref="H505" r:id="rId501"/>
    <hyperlink xmlns:r="http://schemas.openxmlformats.org/officeDocument/2006/relationships" ref="H506" r:id="rId502"/>
    <hyperlink xmlns:r="http://schemas.openxmlformats.org/officeDocument/2006/relationships" ref="H507" r:id="rId503"/>
    <hyperlink xmlns:r="http://schemas.openxmlformats.org/officeDocument/2006/relationships" ref="H508" r:id="rId504"/>
    <hyperlink xmlns:r="http://schemas.openxmlformats.org/officeDocument/2006/relationships" ref="H509" r:id="rId505"/>
    <hyperlink xmlns:r="http://schemas.openxmlformats.org/officeDocument/2006/relationships" ref="H510" r:id="rId506"/>
    <hyperlink xmlns:r="http://schemas.openxmlformats.org/officeDocument/2006/relationships" ref="H511" r:id="rId507"/>
    <hyperlink xmlns:r="http://schemas.openxmlformats.org/officeDocument/2006/relationships" ref="H512" r:id="rId508"/>
    <hyperlink xmlns:r="http://schemas.openxmlformats.org/officeDocument/2006/relationships" ref="H513" r:id="rId509"/>
    <hyperlink xmlns:r="http://schemas.openxmlformats.org/officeDocument/2006/relationships" ref="H514" r:id="rId510"/>
    <hyperlink xmlns:r="http://schemas.openxmlformats.org/officeDocument/2006/relationships" ref="H515" r:id="rId511"/>
    <hyperlink xmlns:r="http://schemas.openxmlformats.org/officeDocument/2006/relationships" ref="H516" r:id="rId512"/>
    <hyperlink xmlns:r="http://schemas.openxmlformats.org/officeDocument/2006/relationships" ref="H517" r:id="rId513"/>
    <hyperlink xmlns:r="http://schemas.openxmlformats.org/officeDocument/2006/relationships" ref="H518" r:id="rId514"/>
    <hyperlink xmlns:r="http://schemas.openxmlformats.org/officeDocument/2006/relationships" ref="H519" r:id="rId515"/>
    <hyperlink xmlns:r="http://schemas.openxmlformats.org/officeDocument/2006/relationships" ref="H520" r:id="rId516"/>
    <hyperlink xmlns:r="http://schemas.openxmlformats.org/officeDocument/2006/relationships" ref="H521" r:id="rId517"/>
    <hyperlink xmlns:r="http://schemas.openxmlformats.org/officeDocument/2006/relationships" ref="H522" r:id="rId518"/>
    <hyperlink xmlns:r="http://schemas.openxmlformats.org/officeDocument/2006/relationships" ref="H523" r:id="rId519"/>
    <hyperlink xmlns:r="http://schemas.openxmlformats.org/officeDocument/2006/relationships" ref="H524" r:id="rId520"/>
    <hyperlink xmlns:r="http://schemas.openxmlformats.org/officeDocument/2006/relationships" ref="H525" r:id="rId521"/>
    <hyperlink xmlns:r="http://schemas.openxmlformats.org/officeDocument/2006/relationships" ref="H526" r:id="rId522"/>
    <hyperlink xmlns:r="http://schemas.openxmlformats.org/officeDocument/2006/relationships" ref="H527" r:id="rId523"/>
    <hyperlink xmlns:r="http://schemas.openxmlformats.org/officeDocument/2006/relationships" ref="H528" r:id="rId524"/>
    <hyperlink xmlns:r="http://schemas.openxmlformats.org/officeDocument/2006/relationships" ref="H529" r:id="rId525"/>
    <hyperlink xmlns:r="http://schemas.openxmlformats.org/officeDocument/2006/relationships" ref="H530" r:id="rId526"/>
    <hyperlink xmlns:r="http://schemas.openxmlformats.org/officeDocument/2006/relationships" ref="H531" r:id="rId527"/>
    <hyperlink xmlns:r="http://schemas.openxmlformats.org/officeDocument/2006/relationships" ref="H532" r:id="rId528"/>
    <hyperlink xmlns:r="http://schemas.openxmlformats.org/officeDocument/2006/relationships" ref="H533" r:id="rId529"/>
    <hyperlink xmlns:r="http://schemas.openxmlformats.org/officeDocument/2006/relationships" ref="H534" r:id="rId530"/>
    <hyperlink xmlns:r="http://schemas.openxmlformats.org/officeDocument/2006/relationships" ref="H535" r:id="rId531"/>
    <hyperlink xmlns:r="http://schemas.openxmlformats.org/officeDocument/2006/relationships" ref="H536" r:id="rId532"/>
    <hyperlink xmlns:r="http://schemas.openxmlformats.org/officeDocument/2006/relationships" ref="H537" r:id="rId533"/>
    <hyperlink xmlns:r="http://schemas.openxmlformats.org/officeDocument/2006/relationships" ref="H538" r:id="rId534"/>
    <hyperlink xmlns:r="http://schemas.openxmlformats.org/officeDocument/2006/relationships" ref="H539" r:id="rId535"/>
    <hyperlink xmlns:r="http://schemas.openxmlformats.org/officeDocument/2006/relationships" ref="H540" r:id="rId536"/>
    <hyperlink xmlns:r="http://schemas.openxmlformats.org/officeDocument/2006/relationships" ref="H541" r:id="rId537"/>
    <hyperlink xmlns:r="http://schemas.openxmlformats.org/officeDocument/2006/relationships" ref="H542" r:id="rId538"/>
    <hyperlink xmlns:r="http://schemas.openxmlformats.org/officeDocument/2006/relationships" ref="H543" r:id="rId539"/>
    <hyperlink xmlns:r="http://schemas.openxmlformats.org/officeDocument/2006/relationships" ref="H544" r:id="rId540"/>
    <hyperlink xmlns:r="http://schemas.openxmlformats.org/officeDocument/2006/relationships" ref="H545" r:id="rId541"/>
    <hyperlink xmlns:r="http://schemas.openxmlformats.org/officeDocument/2006/relationships" ref="H546" r:id="rId542"/>
    <hyperlink xmlns:r="http://schemas.openxmlformats.org/officeDocument/2006/relationships" ref="H547" r:id="rId543"/>
    <hyperlink xmlns:r="http://schemas.openxmlformats.org/officeDocument/2006/relationships" ref="H548" r:id="rId544"/>
    <hyperlink xmlns:r="http://schemas.openxmlformats.org/officeDocument/2006/relationships" ref="H549" r:id="rId545"/>
    <hyperlink xmlns:r="http://schemas.openxmlformats.org/officeDocument/2006/relationships" ref="H550" r:id="rId546"/>
    <hyperlink xmlns:r="http://schemas.openxmlformats.org/officeDocument/2006/relationships" ref="H551" r:id="rId547"/>
    <hyperlink xmlns:r="http://schemas.openxmlformats.org/officeDocument/2006/relationships" ref="H552" r:id="rId548"/>
    <hyperlink xmlns:r="http://schemas.openxmlformats.org/officeDocument/2006/relationships" ref="H553" r:id="rId549"/>
    <hyperlink xmlns:r="http://schemas.openxmlformats.org/officeDocument/2006/relationships" ref="H554" r:id="rId550"/>
    <hyperlink xmlns:r="http://schemas.openxmlformats.org/officeDocument/2006/relationships" ref="H555" r:id="rId551"/>
    <hyperlink xmlns:r="http://schemas.openxmlformats.org/officeDocument/2006/relationships" ref="H556" r:id="rId552"/>
    <hyperlink xmlns:r="http://schemas.openxmlformats.org/officeDocument/2006/relationships" ref="H557" r:id="rId553"/>
    <hyperlink xmlns:r="http://schemas.openxmlformats.org/officeDocument/2006/relationships" ref="H558" r:id="rId554"/>
    <hyperlink xmlns:r="http://schemas.openxmlformats.org/officeDocument/2006/relationships" ref="H559" r:id="rId555"/>
    <hyperlink xmlns:r="http://schemas.openxmlformats.org/officeDocument/2006/relationships" ref="H560" r:id="rId556"/>
    <hyperlink xmlns:r="http://schemas.openxmlformats.org/officeDocument/2006/relationships" ref="H561" r:id="rId557"/>
    <hyperlink xmlns:r="http://schemas.openxmlformats.org/officeDocument/2006/relationships" ref="H562" r:id="rId558"/>
    <hyperlink xmlns:r="http://schemas.openxmlformats.org/officeDocument/2006/relationships" ref="H563" r:id="rId559"/>
    <hyperlink xmlns:r="http://schemas.openxmlformats.org/officeDocument/2006/relationships" ref="H564" r:id="rId560"/>
    <hyperlink xmlns:r="http://schemas.openxmlformats.org/officeDocument/2006/relationships" ref="H565" r:id="rId561"/>
    <hyperlink xmlns:r="http://schemas.openxmlformats.org/officeDocument/2006/relationships" ref="H566" r:id="rId562"/>
    <hyperlink xmlns:r="http://schemas.openxmlformats.org/officeDocument/2006/relationships" ref="H567" r:id="rId563"/>
    <hyperlink xmlns:r="http://schemas.openxmlformats.org/officeDocument/2006/relationships" ref="H568" r:id="rId564"/>
    <hyperlink xmlns:r="http://schemas.openxmlformats.org/officeDocument/2006/relationships" ref="H569" r:id="rId565"/>
    <hyperlink xmlns:r="http://schemas.openxmlformats.org/officeDocument/2006/relationships" ref="H570" r:id="rId566"/>
    <hyperlink xmlns:r="http://schemas.openxmlformats.org/officeDocument/2006/relationships" ref="H571" r:id="rId567"/>
    <hyperlink xmlns:r="http://schemas.openxmlformats.org/officeDocument/2006/relationships" ref="H572" r:id="rId568"/>
    <hyperlink xmlns:r="http://schemas.openxmlformats.org/officeDocument/2006/relationships" ref="H573" r:id="rId569"/>
    <hyperlink xmlns:r="http://schemas.openxmlformats.org/officeDocument/2006/relationships" ref="H574" r:id="rId570"/>
    <hyperlink xmlns:r="http://schemas.openxmlformats.org/officeDocument/2006/relationships" ref="H575" r:id="rId571"/>
    <hyperlink xmlns:r="http://schemas.openxmlformats.org/officeDocument/2006/relationships" ref="H576" r:id="rId572"/>
    <hyperlink xmlns:r="http://schemas.openxmlformats.org/officeDocument/2006/relationships" ref="H577" r:id="rId573"/>
    <hyperlink xmlns:r="http://schemas.openxmlformats.org/officeDocument/2006/relationships" ref="H578" r:id="rId574"/>
    <hyperlink xmlns:r="http://schemas.openxmlformats.org/officeDocument/2006/relationships" ref="H579" r:id="rId575"/>
    <hyperlink xmlns:r="http://schemas.openxmlformats.org/officeDocument/2006/relationships" ref="H580" r:id="rId576"/>
    <hyperlink xmlns:r="http://schemas.openxmlformats.org/officeDocument/2006/relationships" ref="H581" r:id="rId577"/>
    <hyperlink xmlns:r="http://schemas.openxmlformats.org/officeDocument/2006/relationships" ref="H582" r:id="rId578"/>
    <hyperlink xmlns:r="http://schemas.openxmlformats.org/officeDocument/2006/relationships" ref="H583" r:id="rId579"/>
    <hyperlink xmlns:r="http://schemas.openxmlformats.org/officeDocument/2006/relationships" ref="H584" r:id="rId580"/>
    <hyperlink xmlns:r="http://schemas.openxmlformats.org/officeDocument/2006/relationships" ref="H585" r:id="rId581"/>
    <hyperlink xmlns:r="http://schemas.openxmlformats.org/officeDocument/2006/relationships" ref="H586" r:id="rId582"/>
    <hyperlink xmlns:r="http://schemas.openxmlformats.org/officeDocument/2006/relationships" ref="H587" r:id="rId583"/>
    <hyperlink xmlns:r="http://schemas.openxmlformats.org/officeDocument/2006/relationships" ref="H588" r:id="rId584"/>
    <hyperlink xmlns:r="http://schemas.openxmlformats.org/officeDocument/2006/relationships" ref="H589" r:id="rId585"/>
    <hyperlink xmlns:r="http://schemas.openxmlformats.org/officeDocument/2006/relationships" ref="H590" r:id="rId586"/>
    <hyperlink xmlns:r="http://schemas.openxmlformats.org/officeDocument/2006/relationships" ref="H591" r:id="rId587"/>
    <hyperlink xmlns:r="http://schemas.openxmlformats.org/officeDocument/2006/relationships" ref="H592" r:id="rId588"/>
    <hyperlink xmlns:r="http://schemas.openxmlformats.org/officeDocument/2006/relationships" ref="H593" r:id="rId589"/>
    <hyperlink xmlns:r="http://schemas.openxmlformats.org/officeDocument/2006/relationships" ref="H594" r:id="rId590"/>
    <hyperlink xmlns:r="http://schemas.openxmlformats.org/officeDocument/2006/relationships" ref="H595" r:id="rId591"/>
    <hyperlink xmlns:r="http://schemas.openxmlformats.org/officeDocument/2006/relationships" ref="H596" r:id="rId592"/>
    <hyperlink xmlns:r="http://schemas.openxmlformats.org/officeDocument/2006/relationships" ref="H597" r:id="rId593"/>
    <hyperlink xmlns:r="http://schemas.openxmlformats.org/officeDocument/2006/relationships" ref="H598" r:id="rId594"/>
    <hyperlink xmlns:r="http://schemas.openxmlformats.org/officeDocument/2006/relationships" ref="H599" r:id="rId595"/>
    <hyperlink xmlns:r="http://schemas.openxmlformats.org/officeDocument/2006/relationships" ref="H600" r:id="rId596"/>
    <hyperlink xmlns:r="http://schemas.openxmlformats.org/officeDocument/2006/relationships" ref="H601" r:id="rId597"/>
    <hyperlink xmlns:r="http://schemas.openxmlformats.org/officeDocument/2006/relationships" ref="H602" r:id="rId598"/>
    <hyperlink xmlns:r="http://schemas.openxmlformats.org/officeDocument/2006/relationships" ref="H603" r:id="rId599"/>
    <hyperlink xmlns:r="http://schemas.openxmlformats.org/officeDocument/2006/relationships" ref="H604" r:id="rId600"/>
    <hyperlink xmlns:r="http://schemas.openxmlformats.org/officeDocument/2006/relationships" ref="H605" r:id="rId601"/>
    <hyperlink xmlns:r="http://schemas.openxmlformats.org/officeDocument/2006/relationships" ref="H606" r:id="rId602"/>
    <hyperlink xmlns:r="http://schemas.openxmlformats.org/officeDocument/2006/relationships" ref="H607" r:id="rId603"/>
    <hyperlink xmlns:r="http://schemas.openxmlformats.org/officeDocument/2006/relationships" ref="H608" r:id="rId604"/>
    <hyperlink xmlns:r="http://schemas.openxmlformats.org/officeDocument/2006/relationships" ref="H609" r:id="rId605"/>
    <hyperlink xmlns:r="http://schemas.openxmlformats.org/officeDocument/2006/relationships" ref="H610" r:id="rId606"/>
    <hyperlink xmlns:r="http://schemas.openxmlformats.org/officeDocument/2006/relationships" ref="H611" r:id="rId607"/>
    <hyperlink xmlns:r="http://schemas.openxmlformats.org/officeDocument/2006/relationships" ref="H612" r:id="rId608"/>
    <hyperlink xmlns:r="http://schemas.openxmlformats.org/officeDocument/2006/relationships" ref="H613" r:id="rId609"/>
    <hyperlink xmlns:r="http://schemas.openxmlformats.org/officeDocument/2006/relationships" ref="H614" r:id="rId610"/>
    <hyperlink xmlns:r="http://schemas.openxmlformats.org/officeDocument/2006/relationships" ref="H615" r:id="rId611"/>
    <hyperlink xmlns:r="http://schemas.openxmlformats.org/officeDocument/2006/relationships" ref="H616" r:id="rId612"/>
    <hyperlink xmlns:r="http://schemas.openxmlformats.org/officeDocument/2006/relationships" ref="H617" r:id="rId613"/>
    <hyperlink xmlns:r="http://schemas.openxmlformats.org/officeDocument/2006/relationships" ref="H618" r:id="rId614"/>
    <hyperlink xmlns:r="http://schemas.openxmlformats.org/officeDocument/2006/relationships" ref="H619" r:id="rId615"/>
    <hyperlink xmlns:r="http://schemas.openxmlformats.org/officeDocument/2006/relationships" ref="H620" r:id="rId616"/>
    <hyperlink xmlns:r="http://schemas.openxmlformats.org/officeDocument/2006/relationships" ref="H621" r:id="rId617"/>
    <hyperlink xmlns:r="http://schemas.openxmlformats.org/officeDocument/2006/relationships" ref="H622" r:id="rId618"/>
    <hyperlink xmlns:r="http://schemas.openxmlformats.org/officeDocument/2006/relationships" ref="H623" r:id="rId619"/>
    <hyperlink xmlns:r="http://schemas.openxmlformats.org/officeDocument/2006/relationships" ref="H624" r:id="rId620"/>
    <hyperlink xmlns:r="http://schemas.openxmlformats.org/officeDocument/2006/relationships" ref="H625" r:id="rId621"/>
    <hyperlink xmlns:r="http://schemas.openxmlformats.org/officeDocument/2006/relationships" ref="H626" r:id="rId622"/>
    <hyperlink xmlns:r="http://schemas.openxmlformats.org/officeDocument/2006/relationships" ref="H627" r:id="rId623"/>
    <hyperlink xmlns:r="http://schemas.openxmlformats.org/officeDocument/2006/relationships" ref="H628" r:id="rId624"/>
    <hyperlink xmlns:r="http://schemas.openxmlformats.org/officeDocument/2006/relationships" ref="H629" r:id="rId625"/>
    <hyperlink xmlns:r="http://schemas.openxmlformats.org/officeDocument/2006/relationships" ref="H630" r:id="rId626"/>
    <hyperlink xmlns:r="http://schemas.openxmlformats.org/officeDocument/2006/relationships" ref="H631" r:id="rId627"/>
    <hyperlink xmlns:r="http://schemas.openxmlformats.org/officeDocument/2006/relationships" ref="H632" r:id="rId628"/>
    <hyperlink xmlns:r="http://schemas.openxmlformats.org/officeDocument/2006/relationships" ref="H633" r:id="rId629"/>
    <hyperlink xmlns:r="http://schemas.openxmlformats.org/officeDocument/2006/relationships" ref="H634" r:id="rId630"/>
    <hyperlink xmlns:r="http://schemas.openxmlformats.org/officeDocument/2006/relationships" ref="H635" r:id="rId631"/>
    <hyperlink xmlns:r="http://schemas.openxmlformats.org/officeDocument/2006/relationships" ref="H636" r:id="rId632"/>
    <hyperlink xmlns:r="http://schemas.openxmlformats.org/officeDocument/2006/relationships" ref="H637" r:id="rId633"/>
    <hyperlink xmlns:r="http://schemas.openxmlformats.org/officeDocument/2006/relationships" ref="H638" r:id="rId634"/>
    <hyperlink xmlns:r="http://schemas.openxmlformats.org/officeDocument/2006/relationships" ref="H639" r:id="rId635"/>
    <hyperlink xmlns:r="http://schemas.openxmlformats.org/officeDocument/2006/relationships" ref="H640" r:id="rId636"/>
    <hyperlink xmlns:r="http://schemas.openxmlformats.org/officeDocument/2006/relationships" ref="H641" r:id="rId637"/>
    <hyperlink xmlns:r="http://schemas.openxmlformats.org/officeDocument/2006/relationships" ref="H642" r:id="rId638"/>
    <hyperlink xmlns:r="http://schemas.openxmlformats.org/officeDocument/2006/relationships" ref="H643" r:id="rId639"/>
    <hyperlink xmlns:r="http://schemas.openxmlformats.org/officeDocument/2006/relationships" ref="H644" r:id="rId640"/>
    <hyperlink xmlns:r="http://schemas.openxmlformats.org/officeDocument/2006/relationships" ref="H645" r:id="rId641"/>
    <hyperlink xmlns:r="http://schemas.openxmlformats.org/officeDocument/2006/relationships" ref="H646" r:id="rId642"/>
    <hyperlink xmlns:r="http://schemas.openxmlformats.org/officeDocument/2006/relationships" ref="H647" r:id="rId643"/>
    <hyperlink xmlns:r="http://schemas.openxmlformats.org/officeDocument/2006/relationships" ref="H648" r:id="rId644"/>
    <hyperlink xmlns:r="http://schemas.openxmlformats.org/officeDocument/2006/relationships" ref="H649" r:id="rId645"/>
    <hyperlink xmlns:r="http://schemas.openxmlformats.org/officeDocument/2006/relationships" ref="H650" r:id="rId646"/>
    <hyperlink xmlns:r="http://schemas.openxmlformats.org/officeDocument/2006/relationships" ref="H651" r:id="rId647"/>
    <hyperlink xmlns:r="http://schemas.openxmlformats.org/officeDocument/2006/relationships" ref="H652" r:id="rId648"/>
    <hyperlink xmlns:r="http://schemas.openxmlformats.org/officeDocument/2006/relationships" ref="H653" r:id="rId649"/>
    <hyperlink xmlns:r="http://schemas.openxmlformats.org/officeDocument/2006/relationships" ref="H654" r:id="rId650"/>
    <hyperlink xmlns:r="http://schemas.openxmlformats.org/officeDocument/2006/relationships" ref="H655" r:id="rId651"/>
    <hyperlink xmlns:r="http://schemas.openxmlformats.org/officeDocument/2006/relationships" ref="H656" r:id="rId652"/>
    <hyperlink xmlns:r="http://schemas.openxmlformats.org/officeDocument/2006/relationships" ref="H657" r:id="rId653"/>
    <hyperlink xmlns:r="http://schemas.openxmlformats.org/officeDocument/2006/relationships" ref="H658" r:id="rId654"/>
    <hyperlink xmlns:r="http://schemas.openxmlformats.org/officeDocument/2006/relationships" ref="H659" r:id="rId655"/>
    <hyperlink xmlns:r="http://schemas.openxmlformats.org/officeDocument/2006/relationships" ref="H660" r:id="rId656"/>
    <hyperlink xmlns:r="http://schemas.openxmlformats.org/officeDocument/2006/relationships" ref="H661" r:id="rId657"/>
  </hyperlink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  <tableParts count="1">
    <tablePart xmlns:r="http://schemas.openxmlformats.org/officeDocument/2006/relationships" r:id="rId658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>Glossary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3" t="inlineStr">
        <is>
          <t>Every measure in this workbook, in plain terms, with how to read it.</t>
        </is>
      </c>
      <c r="B2" s="2" t="n"/>
      <c r="C2" s="2" t="n"/>
      <c r="D2" s="2" t="n"/>
      <c r="E2" s="2" t="n"/>
      <c r="F2" s="2" t="n"/>
      <c r="G2" s="2" t="n"/>
      <c r="H2" s="2" t="n"/>
    </row>
    <row r="4" ht="24" customHeight="1">
      <c r="A4" s="22" t="inlineStr">
        <is>
          <t>Measure</t>
        </is>
      </c>
      <c r="B4" s="22" t="inlineStr">
        <is>
          <t>Definition</t>
        </is>
      </c>
      <c r="C4" s="22" t="inlineStr">
        <is>
          <t>How to read it</t>
        </is>
      </c>
    </row>
    <row r="5" ht="42" customHeight="1">
      <c r="A5" s="66" t="inlineStr">
        <is>
          <t>MAE</t>
        </is>
      </c>
      <c r="B5" s="67" t="inlineStr">
        <is>
          <t>Maximum adverse excursion</t>
        </is>
      </c>
      <c r="C5" s="68" t="inlineStr">
        <is>
          <t>The furthest a trade went against the entry before it closed, in account currency. It measures the pain a position caused, which the profit and loss figure hides entirely.</t>
        </is>
      </c>
      <c r="D5" s="62" t="n"/>
      <c r="E5" s="62" t="n"/>
      <c r="F5" s="62" t="n"/>
      <c r="G5" s="62" t="n"/>
      <c r="H5" s="62" t="n"/>
    </row>
    <row r="6" ht="42" customHeight="1">
      <c r="A6" s="66" t="inlineStr">
        <is>
          <t>MFE</t>
        </is>
      </c>
      <c r="B6" s="67" t="inlineStr">
        <is>
          <t>Maximum favourable excursion</t>
        </is>
      </c>
      <c r="C6" s="68" t="inlineStr">
        <is>
          <t>The furthest a trade went in the trader's favour. The gap between MFE and the realised result is the money that was offered and not taken.</t>
        </is>
      </c>
      <c r="D6" s="62" t="n"/>
      <c r="E6" s="62" t="n"/>
      <c r="F6" s="62" t="n"/>
      <c r="G6" s="62" t="n"/>
      <c r="H6" s="62" t="n"/>
    </row>
    <row r="7" ht="42" customHeight="1">
      <c r="A7" s="66" t="inlineStr">
        <is>
          <t>Heat %</t>
        </is>
      </c>
      <c r="B7" s="67" t="inlineStr">
        <is>
          <t>MAE as a share of risk</t>
        </is>
      </c>
      <c r="C7" s="68" t="inlineStr">
        <is>
          <t>MAE divided by the money risked at entry. 100% means the trade travelled the whole distance to the stop; above 100% means it went past where the stop was and came back, which usually means the stop was moved.</t>
        </is>
      </c>
      <c r="D7" s="62" t="n"/>
      <c r="E7" s="62" t="n"/>
      <c r="F7" s="62" t="n"/>
      <c r="G7" s="62" t="n"/>
      <c r="H7" s="62" t="n"/>
    </row>
    <row r="8" ht="42" customHeight="1">
      <c r="A8" s="66" t="inlineStr">
        <is>
          <t>Capture</t>
        </is>
      </c>
      <c r="B8" s="67" t="inlineStr">
        <is>
          <t>Realised result ÷ MFE</t>
        </is>
      </c>
      <c r="C8" s="68" t="inlineStr">
        <is>
          <t>How much of the available move was kept. Only meaningful on a trade that had something to capture, so it is reported on winners.</t>
        </is>
      </c>
      <c r="D8" s="62" t="n"/>
      <c r="E8" s="62" t="n"/>
      <c r="F8" s="62" t="n"/>
      <c r="G8" s="62" t="n"/>
      <c r="H8" s="62" t="n"/>
    </row>
    <row r="9" ht="42" customHeight="1">
      <c r="A9" s="66" t="inlineStr">
        <is>
          <t>Giveback</t>
        </is>
      </c>
      <c r="B9" s="67" t="inlineStr">
        <is>
          <t>MFE − realised result</t>
        </is>
      </c>
      <c r="C9" s="68" t="inlineStr">
        <is>
          <t>Money handed back after a trade was in profit.</t>
        </is>
      </c>
      <c r="D9" s="62" t="n"/>
      <c r="E9" s="62" t="n"/>
      <c r="F9" s="62" t="n"/>
      <c r="G9" s="62" t="n"/>
      <c r="H9" s="62" t="n"/>
    </row>
    <row r="10" ht="42" customHeight="1">
      <c r="A10" s="66" t="inlineStr">
        <is>
          <t>R multiple</t>
        </is>
      </c>
      <c r="B10" s="67" t="inlineStr">
        <is>
          <t>Result ÷ risk</t>
        </is>
      </c>
      <c r="C10" s="68" t="inlineStr">
        <is>
          <t>The result expressed in units of the risk taken at entry. It makes a £20 win on £10 of risk and a £200 win on £100 of risk the same trade, which is the only way to compare across position sizes.</t>
        </is>
      </c>
      <c r="D10" s="62" t="n"/>
      <c r="E10" s="62" t="n"/>
      <c r="F10" s="62" t="n"/>
      <c r="G10" s="62" t="n"/>
      <c r="H10" s="62" t="n"/>
    </row>
    <row r="11" ht="42" customHeight="1">
      <c r="A11" s="66" t="inlineStr">
        <is>
          <t>Planned RR</t>
        </is>
      </c>
      <c r="B11" s="67" t="inlineStr">
        <is>
          <t>Target distance ÷ stop distance</t>
        </is>
      </c>
      <c r="C11" s="68" t="inlineStr">
        <is>
          <t>The reward-to-risk the trade was set up to deliver, from the levels present at entry.</t>
        </is>
      </c>
      <c r="D11" s="62" t="n"/>
      <c r="E11" s="62" t="n"/>
      <c r="F11" s="62" t="n"/>
      <c r="G11" s="62" t="n"/>
      <c r="H11" s="62" t="n"/>
    </row>
    <row r="12" ht="42" customHeight="1">
      <c r="A12" s="66" t="inlineStr">
        <is>
          <t>Expectancy</t>
        </is>
      </c>
      <c r="B12" s="67" t="inlineStr">
        <is>
          <t>Average result per trade</t>
        </is>
      </c>
      <c r="C12" s="68" t="inlineStr">
        <is>
          <t>What one trade is worth on average. Positive expectancy with a low win rate is normal and fine; negative expectancy with a high win rate is the classic profile of a strategy that will eventually give it all back.</t>
        </is>
      </c>
      <c r="D12" s="62" t="n"/>
      <c r="E12" s="62" t="n"/>
      <c r="F12" s="62" t="n"/>
      <c r="G12" s="62" t="n"/>
      <c r="H12" s="62" t="n"/>
    </row>
    <row r="13" ht="42" customHeight="1">
      <c r="A13" s="66" t="inlineStr">
        <is>
          <t>Profit factor</t>
        </is>
      </c>
      <c r="B13" s="67" t="inlineStr">
        <is>
          <t>Gross profit ÷ gross loss</t>
        </is>
      </c>
      <c r="C13" s="68" t="inlineStr">
        <is>
          <t>Above 1.0 is profitable. Below about 1.2 the result is fragile to a change in costs or a run of bad luck.</t>
        </is>
      </c>
      <c r="D13" s="62" t="n"/>
      <c r="E13" s="62" t="n"/>
      <c r="F13" s="62" t="n"/>
      <c r="G13" s="62" t="n"/>
      <c r="H13" s="62" t="n"/>
    </row>
    <row r="14" ht="42" customHeight="1">
      <c r="A14" s="66" t="inlineStr">
        <is>
          <t>Payoff ratio</t>
        </is>
      </c>
      <c r="B14" s="67" t="inlineStr">
        <is>
          <t>Average win ÷ average loss</t>
        </is>
      </c>
      <c r="C14" s="68" t="inlineStr">
        <is>
          <t>Together with the win rate it says whether the arithmetic works: the breakeven win rate is 1 ÷ (1 + payoff).</t>
        </is>
      </c>
      <c r="D14" s="62" t="n"/>
      <c r="E14" s="62" t="n"/>
      <c r="F14" s="62" t="n"/>
      <c r="G14" s="62" t="n"/>
      <c r="H14" s="62" t="n"/>
    </row>
    <row r="15" ht="42" customHeight="1">
      <c r="A15" s="66" t="inlineStr">
        <is>
          <t>SQN</t>
        </is>
      </c>
      <c r="B15" s="67" t="inlineStr">
        <is>
          <t>System Quality Number (Van Tharp)</t>
        </is>
      </c>
      <c r="C15" s="68" t="inlineStr">
        <is>
          <t>√n × expectancy ÷ standard deviation of results. It rewards consistency, not just profit. It is meaningless below about 20 trades and is withheld rather than shown when the sample is short.</t>
        </is>
      </c>
      <c r="D15" s="62" t="n"/>
      <c r="E15" s="62" t="n"/>
      <c r="F15" s="62" t="n"/>
      <c r="G15" s="62" t="n"/>
      <c r="H15" s="62" t="n"/>
    </row>
    <row r="16" ht="42" customHeight="1">
      <c r="A16" s="66" t="inlineStr">
        <is>
          <t>Recovery factor</t>
        </is>
      </c>
      <c r="B16" s="67" t="inlineStr">
        <is>
          <t>Net profit ÷ maximum drawdown</t>
        </is>
      </c>
      <c r="C16" s="68" t="inlineStr">
        <is>
          <t>How much profit the account produced per unit of its worst decline.</t>
        </is>
      </c>
      <c r="D16" s="62" t="n"/>
      <c r="E16" s="62" t="n"/>
      <c r="F16" s="62" t="n"/>
      <c r="G16" s="62" t="n"/>
      <c r="H16" s="62" t="n"/>
    </row>
    <row r="17" ht="42" customHeight="1">
      <c r="A17" s="66" t="inlineStr">
        <is>
          <t>Efficiency</t>
        </is>
      </c>
      <c r="B17" s="67" t="inlineStr">
        <is>
          <t>Sweeney entry, exit and total efficiency</t>
        </is>
      </c>
      <c r="C17" s="68" t="inlineStr">
        <is>
          <t>What share of the trade's own high-to-low range was captured by the entry, by the exit, and overall. 1.00 would be buying the low and selling the high.</t>
        </is>
      </c>
      <c r="D17" s="62" t="n"/>
      <c r="E17" s="62" t="n"/>
      <c r="F17" s="62" t="n"/>
      <c r="G17" s="62" t="n"/>
      <c r="H17" s="62" t="n"/>
    </row>
    <row r="18" ht="42" customHeight="1">
      <c r="A18" s="66" t="inlineStr">
        <is>
          <t>Near miss</t>
        </is>
      </c>
      <c r="B18" s="67" t="inlineStr">
        <is>
          <t>Stop approached but not hit</t>
        </is>
      </c>
      <c r="C18" s="68" t="inlineStr">
        <is>
          <t>Price came within 5 points of the stop and the trade survived. A run of these is not skill.</t>
        </is>
      </c>
      <c r="D18" s="62" t="n"/>
      <c r="E18" s="62" t="n"/>
      <c r="F18" s="62" t="n"/>
      <c r="G18" s="62" t="n"/>
      <c r="H18" s="62" t="n"/>
    </row>
    <row r="19" ht="42" customHeight="1">
      <c r="A19" s="66" t="inlineStr">
        <is>
          <t>Duration</t>
        </is>
      </c>
      <c r="B19" s="67" t="inlineStr">
        <is>
          <t>Time in the market</t>
        </is>
      </c>
      <c r="C19" s="68" t="inlineStr">
        <is>
          <t>Reported in seconds under a minute, minutes and seconds under an hour, and hours and minutes above that - the units the trade was actually experienced in.</t>
        </is>
      </c>
      <c r="D19" s="62" t="n"/>
      <c r="E19" s="62" t="n"/>
      <c r="F19" s="62" t="n"/>
      <c r="G19" s="62" t="n"/>
      <c r="H19" s="62" t="n"/>
    </row>
    <row r="20" ht="42" customHeight="1">
      <c r="A20" s="66" t="inlineStr">
        <is>
          <t>Session</t>
        </is>
      </c>
      <c r="B20" s="67" t="inlineStr">
        <is>
          <t>Asia, London, NY Overlap, NY Late</t>
        </is>
      </c>
      <c r="C20" s="68" t="inlineStr">
        <is>
          <t>Assigned from the entry time in broker server time. The boundaries are editable in the app's settings.</t>
        </is>
      </c>
      <c r="D20" s="62" t="n"/>
      <c r="E20" s="62" t="n"/>
      <c r="F20" s="62" t="n"/>
      <c r="G20" s="62" t="n"/>
      <c r="H20" s="62" t="n"/>
    </row>
    <row r="21" ht="42" customHeight="1">
      <c r="A21" s="66" t="inlineStr">
        <is>
          <t>Excursion source</t>
        </is>
      </c>
      <c r="B21" s="67" t="inlineStr">
        <is>
          <t>ticks or bars</t>
        </is>
      </c>
      <c r="C21" s="68" t="inlineStr">
        <is>
          <t>Whether MAE and MFE were measured from the actual tick stream or from M1 bar highs and lows. Ticks are exact; bars are close, and are used when the tick history for that period is not available.</t>
        </is>
      </c>
      <c r="D21" s="62" t="n"/>
      <c r="E21" s="62" t="n"/>
      <c r="F21" s="62" t="n"/>
      <c r="G21" s="62" t="n"/>
      <c r="H21" s="62" t="n"/>
    </row>
    <row r="22" ht="42" customHeight="1">
      <c r="A22" s="66" t="inlineStr">
        <is>
          <t>Monte Carlo</t>
        </is>
      </c>
      <c r="B22" s="67" t="inlineStr">
        <is>
          <t>Resampled forward projection</t>
        </is>
      </c>
      <c r="C22" s="68" t="inlineStr">
        <is>
          <t>The trader's own results, drawn with replacement, in thousands of different orders. It answers what this strategy could do next, including how bad an unlucky sequence looks - without assuming the results follow a normal distribution, which they never do.</t>
        </is>
      </c>
      <c r="D22" s="62" t="n"/>
      <c r="E22" s="62" t="n"/>
      <c r="F22" s="62" t="n"/>
      <c r="G22" s="62" t="n"/>
      <c r="H22" s="62" t="n"/>
    </row>
  </sheetData>
  <mergeCells count="21">
    <mergeCell ref="C10:H10"/>
    <mergeCell ref="C16:H16"/>
    <mergeCell ref="C22:H22"/>
    <mergeCell ref="C9:H9"/>
    <mergeCell ref="A1:H1"/>
    <mergeCell ref="C12:H12"/>
    <mergeCell ref="C21:H21"/>
    <mergeCell ref="C11:H11"/>
    <mergeCell ref="C8:H8"/>
    <mergeCell ref="C17:H17"/>
    <mergeCell ref="C7:H7"/>
    <mergeCell ref="C19:H19"/>
    <mergeCell ref="C13:H13"/>
    <mergeCell ref="A2:H2"/>
    <mergeCell ref="C18:H18"/>
    <mergeCell ref="C15:H15"/>
    <mergeCell ref="C6:H6"/>
    <mergeCell ref="C14:H14"/>
    <mergeCell ref="C5:H5"/>
    <mergeCell ref="C4:H4"/>
    <mergeCell ref="C20:H20"/>
  </mergeCells>
  <printOptions horizontalCentered="1"/>
  <pageMargins left="0.75" right="0.75" top="1" bottom="1" header="0.5" footer="0.5"/>
  <pageSetup orientation="landscape" paperSize="9" fitToHeight="0" fitToWidth="1"/>
  <headerFooter>
    <oddHeader/>
    <oddFooter>&amp;L&amp;8 &amp;K475569MT5 Position Studio · account 3214929&amp;R&amp;8 &amp;K475569&amp;P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MT5 Position Studio</dc:creator>
  <dc:title>MT5 Position Studio — account 3214929</dc:title>
  <dcterms:created xsi:type="dcterms:W3CDTF">2026-08-12T07:06:55Z</dcterms:created>
  <dcterms:modified xsi:type="dcterms:W3CDTF">2026-08-12T07:06:56Z</dcterms:modified>
</cp:coreProperties>
</file>